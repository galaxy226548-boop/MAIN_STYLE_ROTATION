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24226"/>
  <mc:AlternateContent xmlns:mc="http://schemas.openxmlformats.org/markup-compatibility/2006">
    <mc:Choice Requires="x15">
      <x15ac:absPath xmlns:x15ac="http://schemas.microsoft.com/office/spreadsheetml/2010/11/ac" url="/Users/chloezh/Projects/MAIN_STYLE_ROTATION/F_grouping/reference/"/>
    </mc:Choice>
  </mc:AlternateContent>
  <xr:revisionPtr revIDLastSave="0" documentId="13_ncr:1_{1590D4BA-44ED-C142-A114-5042DA1028E7}" xr6:coauthVersionLast="47" xr6:coauthVersionMax="47" xr10:uidLastSave="{00000000-0000-0000-0000-000000000000}"/>
  <bookViews>
    <workbookView xWindow="0" yWindow="680" windowWidth="34200" windowHeight="19660" xr2:uid="{00000000-000D-0000-FFFF-FFFF00000000}"/>
  </bookViews>
  <sheets>
    <sheet name="Sheet1" sheetId="1" r:id="rId1"/>
    <sheet name="工作表1" sheetId="2" r:id="rId2"/>
    <sheet name="factor_generated" sheetId="3" r:id="rId3"/>
  </sheets>
  <definedNames>
    <definedName name="_xlnm._FilterDatabase" localSheetId="0" hidden="1">Sheet1!$A$1:$Y$364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3" i="1" l="1"/>
  <c r="D333" i="1" s="1"/>
  <c r="B332" i="1"/>
  <c r="D332" i="1" s="1"/>
  <c r="B331" i="1"/>
  <c r="D331" i="1" s="1"/>
  <c r="B330" i="1"/>
  <c r="D330" i="1" s="1"/>
  <c r="B329" i="1"/>
  <c r="D329" i="1" s="1"/>
  <c r="B328" i="1"/>
  <c r="D328" i="1" s="1"/>
  <c r="B327" i="1"/>
  <c r="D327" i="1" s="1"/>
  <c r="B326" i="1"/>
  <c r="D326" i="1" s="1"/>
  <c r="B325" i="1"/>
  <c r="D325" i="1" s="1"/>
  <c r="B324" i="1"/>
  <c r="D324" i="1" s="1"/>
  <c r="B323" i="1"/>
  <c r="D323" i="1" s="1"/>
  <c r="B322" i="1"/>
  <c r="D322" i="1" s="1"/>
  <c r="B321" i="1"/>
  <c r="D321" i="1" s="1"/>
  <c r="B320" i="1"/>
  <c r="D320" i="1" s="1"/>
  <c r="B319" i="1"/>
  <c r="D319" i="1" s="1"/>
  <c r="B318" i="1"/>
  <c r="D318" i="1" s="1"/>
  <c r="B317" i="1"/>
  <c r="D317" i="1" s="1"/>
  <c r="B316" i="1"/>
  <c r="D316" i="1" s="1"/>
  <c r="B315" i="1"/>
  <c r="D315" i="1" s="1"/>
  <c r="B314" i="1"/>
  <c r="D314" i="1" s="1"/>
  <c r="B313" i="1"/>
  <c r="D313" i="1" s="1"/>
  <c r="B312" i="1"/>
  <c r="D312" i="1" s="1"/>
  <c r="B311" i="1"/>
  <c r="D311" i="1" s="1"/>
  <c r="B310" i="1"/>
  <c r="D310" i="1" s="1"/>
  <c r="B309" i="1"/>
  <c r="D309" i="1" s="1"/>
  <c r="B308" i="1"/>
  <c r="D308" i="1" s="1"/>
  <c r="B307" i="1"/>
  <c r="D307" i="1" s="1"/>
  <c r="B306" i="1"/>
  <c r="D306" i="1" s="1"/>
  <c r="B305" i="1"/>
  <c r="D305" i="1" s="1"/>
  <c r="B304" i="1"/>
  <c r="D304" i="1" s="1"/>
  <c r="B303" i="1"/>
  <c r="D303" i="1" s="1"/>
  <c r="B302" i="1"/>
  <c r="D302" i="1" s="1"/>
  <c r="B301" i="1"/>
  <c r="D301" i="1" s="1"/>
  <c r="B300" i="1"/>
  <c r="D300" i="1" s="1"/>
  <c r="B299" i="1"/>
  <c r="D299" i="1" s="1"/>
  <c r="B298" i="1"/>
  <c r="D298" i="1" s="1"/>
  <c r="B297" i="1"/>
  <c r="D297" i="1" s="1"/>
  <c r="B296" i="1"/>
  <c r="D296" i="1" s="1"/>
  <c r="B295" i="1"/>
  <c r="D295" i="1" s="1"/>
  <c r="B294" i="1"/>
  <c r="D294" i="1" s="1"/>
  <c r="B293" i="1"/>
  <c r="D293" i="1" s="1"/>
  <c r="B292" i="1"/>
  <c r="D292" i="1" s="1"/>
  <c r="B291" i="1"/>
  <c r="D291" i="1" s="1"/>
  <c r="B290" i="1"/>
  <c r="D290" i="1" s="1"/>
  <c r="B289" i="1"/>
  <c r="D289" i="1" s="1"/>
  <c r="B288" i="1"/>
  <c r="D288" i="1" s="1"/>
  <c r="B287" i="1"/>
  <c r="D287" i="1" s="1"/>
  <c r="B286" i="1"/>
  <c r="D286" i="1" s="1"/>
  <c r="B285" i="1"/>
  <c r="D285" i="1" s="1"/>
  <c r="B284" i="1"/>
  <c r="D284" i="1" s="1"/>
  <c r="B283" i="1"/>
  <c r="D283" i="1" s="1"/>
  <c r="B282" i="1"/>
  <c r="D282" i="1" s="1"/>
  <c r="B281" i="1"/>
  <c r="D281" i="1" s="1"/>
  <c r="B280" i="1"/>
  <c r="D280" i="1" s="1"/>
  <c r="B279" i="1"/>
  <c r="D279" i="1" s="1"/>
  <c r="B278" i="1"/>
  <c r="D278" i="1" s="1"/>
  <c r="B277" i="1"/>
  <c r="D277" i="1" s="1"/>
  <c r="B276" i="1"/>
  <c r="D276" i="1" s="1"/>
  <c r="B275" i="1"/>
  <c r="D275" i="1" s="1"/>
  <c r="B274" i="1"/>
  <c r="D274" i="1" s="1"/>
  <c r="B273" i="1"/>
  <c r="D273" i="1" s="1"/>
  <c r="B272" i="1"/>
  <c r="D272" i="1" s="1"/>
  <c r="B271" i="1"/>
  <c r="D271" i="1" s="1"/>
  <c r="B270" i="1"/>
  <c r="D270" i="1" s="1"/>
  <c r="B269" i="1"/>
  <c r="D269" i="1" s="1"/>
  <c r="B268" i="1"/>
  <c r="D268" i="1" s="1"/>
  <c r="B267" i="1"/>
  <c r="D267" i="1" s="1"/>
  <c r="B266" i="1"/>
  <c r="D266" i="1" s="1"/>
  <c r="B265" i="1"/>
  <c r="D265" i="1" s="1"/>
  <c r="B264" i="1"/>
  <c r="D264" i="1" s="1"/>
  <c r="B263" i="1"/>
  <c r="D263" i="1" s="1"/>
  <c r="B262" i="1"/>
  <c r="D262" i="1" s="1"/>
  <c r="B261" i="1"/>
  <c r="D261" i="1" s="1"/>
  <c r="B260" i="1"/>
  <c r="D260" i="1" s="1"/>
  <c r="B259" i="1"/>
  <c r="D259" i="1" s="1"/>
  <c r="B258" i="1"/>
  <c r="D258" i="1" s="1"/>
  <c r="B257" i="1"/>
  <c r="D257" i="1" s="1"/>
  <c r="B256" i="1"/>
  <c r="D256" i="1" s="1"/>
  <c r="B255" i="1"/>
  <c r="D255" i="1" s="1"/>
  <c r="B254" i="1"/>
  <c r="D254" i="1" s="1"/>
  <c r="B253" i="1"/>
  <c r="D253" i="1" s="1"/>
  <c r="B252" i="1"/>
  <c r="D252" i="1" s="1"/>
  <c r="B251" i="1"/>
  <c r="D251" i="1" s="1"/>
  <c r="B250" i="1"/>
  <c r="D250" i="1" s="1"/>
  <c r="B249" i="1"/>
  <c r="D249" i="1" s="1"/>
  <c r="B248" i="1"/>
  <c r="D248" i="1" s="1"/>
  <c r="B247" i="1"/>
  <c r="D247" i="1" s="1"/>
  <c r="B246" i="1"/>
  <c r="D246" i="1" s="1"/>
  <c r="B245" i="1"/>
  <c r="D245" i="1" s="1"/>
  <c r="B244" i="1"/>
  <c r="D244" i="1" s="1"/>
  <c r="B243" i="1"/>
  <c r="D243" i="1" s="1"/>
  <c r="B242" i="1"/>
  <c r="D242" i="1" s="1"/>
  <c r="B241" i="1"/>
  <c r="D241" i="1" s="1"/>
  <c r="B240" i="1"/>
  <c r="D240" i="1" s="1"/>
  <c r="B239" i="1"/>
  <c r="D239" i="1" s="1"/>
  <c r="B238" i="1"/>
  <c r="D238" i="1" s="1"/>
  <c r="B237" i="1"/>
  <c r="D237" i="1" s="1"/>
  <c r="B236" i="1"/>
  <c r="D236" i="1" s="1"/>
  <c r="B235" i="1"/>
  <c r="D235" i="1" s="1"/>
  <c r="B234" i="1"/>
  <c r="D234" i="1" s="1"/>
  <c r="B233" i="1"/>
  <c r="D233" i="1" s="1"/>
  <c r="B232" i="1"/>
  <c r="D232" i="1" s="1"/>
  <c r="B231" i="1"/>
  <c r="D231" i="1" s="1"/>
  <c r="B230" i="1"/>
  <c r="D230" i="1" s="1"/>
  <c r="B229" i="1"/>
  <c r="D229" i="1" s="1"/>
  <c r="B228" i="1"/>
  <c r="D228" i="1" s="1"/>
  <c r="B227" i="1"/>
  <c r="D227" i="1" s="1"/>
  <c r="B226" i="1"/>
  <c r="D226" i="1" s="1"/>
  <c r="B225" i="1"/>
  <c r="D225" i="1" s="1"/>
  <c r="B224" i="1"/>
  <c r="D224" i="1" s="1"/>
  <c r="B223" i="1"/>
  <c r="D223" i="1" s="1"/>
  <c r="B222" i="1"/>
  <c r="D222" i="1" s="1"/>
  <c r="B221" i="1"/>
  <c r="D221" i="1" s="1"/>
  <c r="B220" i="1"/>
  <c r="D220" i="1" s="1"/>
  <c r="B219" i="1"/>
  <c r="D219" i="1" s="1"/>
  <c r="B218" i="1"/>
  <c r="D218" i="1" s="1"/>
  <c r="B217" i="1"/>
  <c r="D217" i="1" s="1"/>
  <c r="B216" i="1"/>
  <c r="D216" i="1" s="1"/>
  <c r="B215" i="1"/>
  <c r="D215" i="1" s="1"/>
  <c r="B214" i="1"/>
  <c r="D214" i="1" s="1"/>
  <c r="B213" i="1"/>
  <c r="D213" i="1" s="1"/>
  <c r="B212" i="1"/>
  <c r="D212" i="1" s="1"/>
  <c r="B211" i="1"/>
  <c r="D211" i="1" s="1"/>
  <c r="B210" i="1"/>
  <c r="D210" i="1" s="1"/>
  <c r="B209" i="1"/>
  <c r="D209" i="1" s="1"/>
  <c r="B208" i="1"/>
  <c r="D208" i="1" s="1"/>
  <c r="B207" i="1"/>
  <c r="D207" i="1" s="1"/>
  <c r="B206" i="1"/>
  <c r="D206" i="1" s="1"/>
  <c r="B205" i="1"/>
  <c r="D205" i="1" s="1"/>
  <c r="B204" i="1"/>
  <c r="D204" i="1" s="1"/>
  <c r="B203" i="1"/>
  <c r="D203" i="1" s="1"/>
  <c r="B202" i="1"/>
  <c r="D202" i="1" s="1"/>
  <c r="B201" i="1"/>
  <c r="D201" i="1" s="1"/>
  <c r="B200" i="1"/>
  <c r="D200" i="1" s="1"/>
  <c r="B199" i="1"/>
  <c r="D199" i="1" s="1"/>
  <c r="B198" i="1"/>
  <c r="D198" i="1" s="1"/>
  <c r="B197" i="1"/>
  <c r="D197" i="1" s="1"/>
  <c r="B196" i="1"/>
  <c r="D196" i="1" s="1"/>
  <c r="B195" i="1"/>
  <c r="D195" i="1" s="1"/>
  <c r="B194" i="1"/>
  <c r="D194" i="1" s="1"/>
  <c r="B193" i="1"/>
  <c r="D193" i="1" s="1"/>
  <c r="B192" i="1"/>
  <c r="D192" i="1" s="1"/>
  <c r="B191" i="1"/>
  <c r="D191" i="1" s="1"/>
  <c r="B190" i="1"/>
  <c r="D190" i="1" s="1"/>
  <c r="B189" i="1"/>
  <c r="D189" i="1" s="1"/>
  <c r="B188" i="1"/>
  <c r="D188" i="1" s="1"/>
  <c r="B187" i="1"/>
  <c r="D187" i="1" s="1"/>
  <c r="B186" i="1"/>
  <c r="D186" i="1" s="1"/>
  <c r="B185" i="1"/>
  <c r="D185" i="1" s="1"/>
  <c r="B184" i="1"/>
  <c r="D184" i="1" s="1"/>
  <c r="B183" i="1"/>
  <c r="D183" i="1" s="1"/>
  <c r="B182" i="1"/>
  <c r="D182" i="1" s="1"/>
  <c r="B181" i="1"/>
  <c r="D181" i="1" s="1"/>
  <c r="B180" i="1"/>
  <c r="D180" i="1" s="1"/>
  <c r="B179" i="1"/>
  <c r="D179" i="1" s="1"/>
  <c r="B178" i="1"/>
  <c r="D178" i="1" s="1"/>
  <c r="B177" i="1"/>
  <c r="D177" i="1" s="1"/>
  <c r="B176" i="1"/>
  <c r="D176" i="1" s="1"/>
  <c r="B175" i="1"/>
  <c r="D175" i="1" s="1"/>
  <c r="B174" i="1"/>
  <c r="D174" i="1" s="1"/>
  <c r="B173" i="1"/>
  <c r="D173" i="1" s="1"/>
  <c r="B172" i="1"/>
  <c r="D172" i="1" s="1"/>
  <c r="B171" i="1"/>
  <c r="D171" i="1" s="1"/>
  <c r="B170" i="1"/>
  <c r="D170" i="1" s="1"/>
  <c r="B169" i="1"/>
  <c r="D169" i="1" s="1"/>
  <c r="B168" i="1"/>
  <c r="D168" i="1" s="1"/>
  <c r="B167" i="1"/>
  <c r="D167" i="1" s="1"/>
  <c r="B166" i="1"/>
  <c r="D166" i="1" s="1"/>
  <c r="B165" i="1"/>
  <c r="D165" i="1" s="1"/>
  <c r="B164" i="1"/>
  <c r="D164" i="1" s="1"/>
  <c r="B163" i="1"/>
  <c r="D163" i="1" s="1"/>
  <c r="B162" i="1"/>
  <c r="D162" i="1" s="1"/>
  <c r="B161" i="1"/>
  <c r="D161" i="1" s="1"/>
  <c r="B160" i="1"/>
  <c r="D160" i="1" s="1"/>
  <c r="B159" i="1"/>
  <c r="D159" i="1" s="1"/>
  <c r="B158" i="1"/>
  <c r="D158" i="1" s="1"/>
  <c r="B157" i="1"/>
  <c r="D157" i="1" s="1"/>
  <c r="B156" i="1"/>
  <c r="D156" i="1" s="1"/>
  <c r="B155" i="1"/>
  <c r="D155" i="1" s="1"/>
  <c r="B154" i="1"/>
  <c r="D154" i="1" s="1"/>
  <c r="B153" i="1"/>
  <c r="D153" i="1" s="1"/>
  <c r="B152" i="1"/>
  <c r="D152" i="1" s="1"/>
  <c r="B151" i="1"/>
  <c r="D151" i="1" s="1"/>
  <c r="B150" i="1"/>
  <c r="D150" i="1" s="1"/>
  <c r="B149" i="1"/>
  <c r="D149" i="1" s="1"/>
  <c r="B148" i="1"/>
  <c r="D148" i="1" s="1"/>
  <c r="B147" i="1"/>
  <c r="D147" i="1" s="1"/>
  <c r="B146" i="1"/>
  <c r="D146" i="1" s="1"/>
  <c r="B145" i="1"/>
  <c r="D145" i="1" s="1"/>
  <c r="B144" i="1"/>
  <c r="D144" i="1" s="1"/>
  <c r="B143" i="1"/>
  <c r="D143" i="1" s="1"/>
  <c r="B142" i="1"/>
  <c r="D142" i="1" s="1"/>
  <c r="B141" i="1"/>
  <c r="D141" i="1" s="1"/>
  <c r="B140" i="1"/>
  <c r="D140" i="1" s="1"/>
  <c r="B139" i="1"/>
  <c r="D139" i="1" s="1"/>
  <c r="B138" i="1"/>
  <c r="D138" i="1" s="1"/>
  <c r="B137" i="1"/>
  <c r="D137" i="1" s="1"/>
  <c r="B136" i="1"/>
  <c r="D136" i="1" s="1"/>
  <c r="B135" i="1"/>
  <c r="D135" i="1" s="1"/>
  <c r="B134" i="1"/>
  <c r="D134" i="1" s="1"/>
  <c r="B133" i="1"/>
  <c r="D133" i="1" s="1"/>
  <c r="B132" i="1"/>
  <c r="D132" i="1" s="1"/>
  <c r="B131" i="1"/>
  <c r="D131" i="1" s="1"/>
  <c r="B130" i="1"/>
  <c r="D130" i="1" s="1"/>
  <c r="B129" i="1"/>
  <c r="D129" i="1" s="1"/>
  <c r="B128" i="1"/>
  <c r="D128" i="1" s="1"/>
  <c r="B127" i="1"/>
  <c r="D127" i="1" s="1"/>
  <c r="B126" i="1"/>
  <c r="D126" i="1" s="1"/>
  <c r="B125" i="1"/>
  <c r="D125" i="1" s="1"/>
  <c r="B124" i="1"/>
  <c r="D124" i="1" s="1"/>
  <c r="B123" i="1"/>
  <c r="D123" i="1" s="1"/>
  <c r="B122" i="1"/>
  <c r="D122" i="1" s="1"/>
  <c r="B121" i="1"/>
  <c r="D121" i="1" s="1"/>
  <c r="B120" i="1"/>
  <c r="D120" i="1" s="1"/>
  <c r="B119" i="1"/>
  <c r="D119" i="1" s="1"/>
  <c r="B118" i="1"/>
  <c r="D118" i="1" s="1"/>
  <c r="B117" i="1"/>
  <c r="D117" i="1" s="1"/>
  <c r="B116" i="1"/>
  <c r="D116" i="1" s="1"/>
  <c r="B115" i="1"/>
  <c r="D115" i="1" s="1"/>
  <c r="B114" i="1"/>
  <c r="D114" i="1" s="1"/>
  <c r="B113" i="1"/>
  <c r="D113" i="1" s="1"/>
  <c r="B112" i="1"/>
  <c r="D112" i="1" s="1"/>
  <c r="B111" i="1"/>
  <c r="D111" i="1" s="1"/>
  <c r="B110" i="1"/>
  <c r="D110" i="1" s="1"/>
  <c r="B109" i="1"/>
  <c r="D109" i="1" s="1"/>
  <c r="B108" i="1"/>
  <c r="D108" i="1" s="1"/>
  <c r="B107" i="1"/>
  <c r="D107" i="1" s="1"/>
  <c r="B106" i="1"/>
  <c r="D106" i="1" s="1"/>
  <c r="B105" i="1"/>
  <c r="D105" i="1" s="1"/>
  <c r="B104" i="1"/>
  <c r="D104" i="1" s="1"/>
  <c r="B103" i="1"/>
  <c r="D103" i="1" s="1"/>
  <c r="B102" i="1"/>
  <c r="D102" i="1" s="1"/>
  <c r="B101" i="1"/>
  <c r="D101" i="1" s="1"/>
  <c r="B100" i="1"/>
  <c r="D100" i="1" s="1"/>
  <c r="B99" i="1"/>
  <c r="D99" i="1" s="1"/>
  <c r="B98" i="1"/>
  <c r="D98" i="1" s="1"/>
  <c r="B97" i="1"/>
  <c r="D97" i="1" s="1"/>
  <c r="B96" i="1"/>
  <c r="D96" i="1" s="1"/>
  <c r="B95" i="1"/>
  <c r="D95" i="1" s="1"/>
  <c r="B94" i="1"/>
  <c r="D94" i="1" s="1"/>
  <c r="B93" i="1"/>
  <c r="D93" i="1" s="1"/>
  <c r="B92" i="1"/>
  <c r="D92" i="1" s="1"/>
  <c r="B91" i="1"/>
  <c r="D91" i="1" s="1"/>
  <c r="B90" i="1"/>
  <c r="D90" i="1" s="1"/>
  <c r="B89" i="1"/>
  <c r="D89" i="1" s="1"/>
  <c r="B88" i="1"/>
  <c r="D88" i="1" s="1"/>
  <c r="B87" i="1"/>
  <c r="D87" i="1" s="1"/>
  <c r="B86" i="1"/>
  <c r="D86" i="1" s="1"/>
  <c r="B85" i="1"/>
  <c r="D85" i="1" s="1"/>
  <c r="B84" i="1"/>
  <c r="D84" i="1" s="1"/>
  <c r="B83" i="1"/>
  <c r="D83" i="1" s="1"/>
  <c r="B82" i="1"/>
  <c r="D82" i="1" s="1"/>
  <c r="B81" i="1"/>
  <c r="D81" i="1" s="1"/>
  <c r="B80" i="1"/>
  <c r="D80" i="1" s="1"/>
  <c r="B79" i="1"/>
  <c r="D79" i="1" s="1"/>
  <c r="B78" i="1"/>
  <c r="D78" i="1" s="1"/>
  <c r="B77" i="1"/>
  <c r="D77" i="1" s="1"/>
  <c r="B76" i="1"/>
  <c r="D76" i="1" s="1"/>
  <c r="B75" i="1"/>
  <c r="D75" i="1" s="1"/>
  <c r="B74" i="1"/>
  <c r="D74" i="1" s="1"/>
  <c r="B73" i="1"/>
  <c r="D73" i="1" s="1"/>
  <c r="B72" i="1"/>
  <c r="D72" i="1" s="1"/>
  <c r="B71" i="1"/>
  <c r="D71" i="1" s="1"/>
  <c r="B70" i="1"/>
  <c r="D70" i="1" s="1"/>
  <c r="B69" i="1"/>
  <c r="D69" i="1" s="1"/>
  <c r="B68" i="1"/>
  <c r="D68" i="1" s="1"/>
  <c r="B67" i="1"/>
  <c r="D67" i="1" s="1"/>
  <c r="B66" i="1"/>
  <c r="D66" i="1" s="1"/>
  <c r="B65" i="1"/>
  <c r="D65" i="1" s="1"/>
  <c r="B64" i="1"/>
  <c r="D64" i="1" s="1"/>
  <c r="B63" i="1"/>
  <c r="D63" i="1" s="1"/>
  <c r="B62" i="1"/>
  <c r="D62" i="1" s="1"/>
  <c r="B61" i="1"/>
  <c r="D61" i="1" s="1"/>
  <c r="B60" i="1"/>
  <c r="D60" i="1" s="1"/>
  <c r="B59" i="1"/>
  <c r="D59" i="1" s="1"/>
  <c r="B58" i="1"/>
  <c r="D58" i="1" s="1"/>
  <c r="B57" i="1"/>
  <c r="D57" i="1" s="1"/>
  <c r="B56" i="1"/>
  <c r="D56" i="1" s="1"/>
  <c r="B55" i="1"/>
  <c r="D55" i="1" s="1"/>
  <c r="B54" i="1"/>
  <c r="D54" i="1" s="1"/>
  <c r="B53" i="1"/>
  <c r="D53" i="1" s="1"/>
  <c r="B52" i="1"/>
  <c r="D52" i="1" s="1"/>
  <c r="B51" i="1"/>
  <c r="D51" i="1" s="1"/>
  <c r="B50" i="1"/>
  <c r="D50" i="1" s="1"/>
  <c r="B49" i="1"/>
  <c r="D49" i="1" s="1"/>
  <c r="B48" i="1"/>
  <c r="D48" i="1" s="1"/>
  <c r="B47" i="1"/>
  <c r="D47" i="1" s="1"/>
  <c r="B46" i="1"/>
  <c r="D46" i="1" s="1"/>
  <c r="B45" i="1"/>
  <c r="D45" i="1" s="1"/>
  <c r="B44" i="1"/>
  <c r="D44" i="1" s="1"/>
  <c r="B43" i="1"/>
  <c r="D43" i="1" s="1"/>
  <c r="B42" i="1"/>
  <c r="D42" i="1" s="1"/>
  <c r="B41" i="1"/>
  <c r="D41" i="1" s="1"/>
  <c r="B40" i="1"/>
  <c r="D40" i="1" s="1"/>
  <c r="B39" i="1"/>
  <c r="D39" i="1" s="1"/>
  <c r="B38" i="1"/>
  <c r="D38" i="1" s="1"/>
  <c r="B37" i="1"/>
  <c r="D37" i="1" s="1"/>
  <c r="B36" i="1"/>
  <c r="D36" i="1" s="1"/>
  <c r="B35" i="1"/>
  <c r="D35" i="1" s="1"/>
  <c r="B34" i="1"/>
  <c r="D34" i="1" s="1"/>
  <c r="B33" i="1"/>
  <c r="D33" i="1" s="1"/>
  <c r="B32" i="1"/>
  <c r="D32" i="1" s="1"/>
  <c r="B31" i="1"/>
  <c r="D31" i="1" s="1"/>
  <c r="B30" i="1"/>
  <c r="D30" i="1" s="1"/>
  <c r="B29" i="1"/>
  <c r="D29" i="1" s="1"/>
  <c r="B28" i="1"/>
  <c r="D28" i="1" s="1"/>
  <c r="B27" i="1"/>
  <c r="D27" i="1" s="1"/>
  <c r="B26" i="1"/>
  <c r="D26" i="1" s="1"/>
  <c r="B25" i="1"/>
  <c r="D25" i="1" s="1"/>
  <c r="B24" i="1"/>
  <c r="D24" i="1" s="1"/>
  <c r="B23" i="1"/>
  <c r="D23" i="1" s="1"/>
  <c r="B22" i="1"/>
  <c r="D22" i="1" s="1"/>
  <c r="B21" i="1"/>
  <c r="D21" i="1" s="1"/>
  <c r="B20" i="1"/>
  <c r="D20" i="1" s="1"/>
  <c r="B19" i="1"/>
  <c r="D19" i="1" s="1"/>
  <c r="B18" i="1"/>
  <c r="D18" i="1" s="1"/>
  <c r="B17" i="1"/>
  <c r="D17" i="1" s="1"/>
  <c r="B16" i="1"/>
  <c r="D16" i="1" s="1"/>
  <c r="B15" i="1"/>
  <c r="D15" i="1" s="1"/>
  <c r="B14" i="1"/>
  <c r="D14" i="1" s="1"/>
  <c r="B13" i="1"/>
  <c r="D13" i="1" s="1"/>
  <c r="B12" i="1"/>
  <c r="D12" i="1" s="1"/>
  <c r="B11" i="1"/>
  <c r="D11" i="1" s="1"/>
  <c r="B10" i="1"/>
  <c r="D10" i="1" s="1"/>
  <c r="B9" i="1"/>
  <c r="D9" i="1" s="1"/>
  <c r="B8" i="1"/>
  <c r="D8" i="1" s="1"/>
  <c r="B7" i="1"/>
  <c r="D7" i="1" s="1"/>
  <c r="B6" i="1"/>
  <c r="D6" i="1" s="1"/>
  <c r="B5" i="1"/>
  <c r="D5" i="1" s="1"/>
  <c r="B4" i="1"/>
  <c r="D4" i="1" s="1"/>
  <c r="B3" i="1"/>
  <c r="D3" i="1" s="1"/>
  <c r="B2" i="1"/>
  <c r="D2" i="1" s="1"/>
</calcChain>
</file>

<file path=xl/sharedStrings.xml><?xml version="1.0" encoding="utf-8"?>
<sst xmlns="http://schemas.openxmlformats.org/spreadsheetml/2006/main" count="8195" uniqueCount="2475">
  <si>
    <t>大类</t>
  </si>
  <si>
    <t>子类</t>
  </si>
  <si>
    <t>经济逻辑</t>
  </si>
  <si>
    <t>修改</t>
  </si>
  <si>
    <t>估值参数映射</t>
  </si>
  <si>
    <t>逻辑层级</t>
  </si>
  <si>
    <t>C</t>
  </si>
  <si>
    <t>公募发行资金</t>
  </si>
  <si>
    <t>公募新发与AUM扩张反映机构增量资金入场节奏。资金加速流入时，基金经理倾向配置高弹性成长资产以追求超额收益，推动成长风格占优；资金萎缩时，存量博弈下防御性价值风格相对抗跌。</t>
  </si>
  <si>
    <t>公募新发与AUM扩张反映机构增量资金入场节奏。公募基金具有对大弹性成长股的配置偏好，因此在公募发行资金明显抬升后，认为成长股可能受到支撑抬升。</t>
  </si>
  <si>
    <t>liquidity + ε</t>
  </si>
  <si>
    <t>传导变量</t>
  </si>
  <si>
    <t>海外资金潜力</t>
  </si>
  <si>
    <t>美元强弱与人民币/港元汇率共同刻画外资流入A股的意愿与能力。美元走弱、人民币升值时，全球风险偏好上行，外资倾向增配A股高成长标的；美元走强或汇率承压时，外资撤离叠加国内风险偏好下降，价值风格相对占优。</t>
  </si>
  <si>
    <t>r + ε + liquidity</t>
  </si>
  <si>
    <t>散户入市情绪</t>
  </si>
  <si>
    <t>开户数与融资买入额衡量散户资金活跃程度与市场情绪温度。散户加速入市、杠杆资金扩张时，市场整体风险偏好抬升，资金追逐高弹性成长题材；情绪退潮时，成长溢价收缩，价值风格防御属性凸显。</t>
  </si>
  <si>
    <t>ε + liquidity</t>
  </si>
  <si>
    <t>D</t>
  </si>
  <si>
    <t>企业融资环境</t>
  </si>
  <si>
    <t>信用利差衡量市场对企业违约风险的定价。利差收窄时融资成本下降、风险偏好上升，资金倾向流向估值弹性更大的成长股；利差走阔时避险情绪主导，业绩确定性更高的价值股相对占优。</t>
  </si>
  <si>
    <t>r + ε</t>
  </si>
  <si>
    <t>货币信贷转换</t>
  </si>
  <si>
    <t>衡量货币宽松能否有效转化为实体信贷。M2增速显著高于社融或名义GDP时，超额流动性淤积在金融体系，压低折现率并推升风险偏好，对久期长、估值敏感的成长股形成系统性利好；反之货币向信贷高效转化时，周期与价值板块的盈利预期改善更为直接。</t>
  </si>
  <si>
    <t>r + liquidity + g</t>
  </si>
  <si>
    <t>混合传导</t>
  </si>
  <si>
    <t>贷款扩张冲击</t>
  </si>
  <si>
    <t>捕捉信用周期的量能加速信号。新增贷款或社融增速出现边际跳升时，实体融资需求回暖，银行、地产、基建等价值板块率先受益于盈利修复预期；信贷扩张动能减弱时，市场重新定价成长股的长期现金流，成长风格相对占优。</t>
  </si>
  <si>
    <t>g + credit</t>
  </si>
  <si>
    <t>F</t>
  </si>
  <si>
    <t>CPI</t>
  </si>
  <si>
    <t>CPI 同比通过两条路径影响成长／价值风格：其一，CPI 上行强化货币收紧预期，长端利率上升压缩成长股远期现金流折现值，有利于价值风格（折现率路径）；其二，CPI 上行往往伴随消费需求扩张，景气改善对成长股亦有支撑（景气路径）。两条路径方向相反，实际风格偏向取决于当期主导机制，通胀高企但经济偏弱时折现率路径主导，价值相对占优；经济景气强劲时两条路径对冲，方向不确定。</t>
  </si>
  <si>
    <t>r + g</t>
  </si>
  <si>
    <t>PPI</t>
  </si>
  <si>
    <t>PPI 同比同样通过折现率与景气两条路径传导：景气路径上，PPI 上行直接推升工业企业盈利，周期性价值板块率先受益，但经济扩张期成长股的高弹性同样凸显，方向存在对冲；折现率路径上，PPI 对长端利率的影响相较 CPI 更为间接，央行政策反应弱于 CPI 情境。因此 PPI 类因子的风格指向整体较 CPI 更为模糊，景气路径的权重相对更高。</t>
  </si>
  <si>
    <t>g + ROE/CF + r</t>
  </si>
  <si>
    <t>G</t>
  </si>
  <si>
    <t>工业生产</t>
  </si>
  <si>
    <t>工业增加值见顶回落时，市场预期从"盈利兑现"转向"政策宽松预期"，成长风格重新占优。</t>
  </si>
  <si>
    <t>g</t>
  </si>
  <si>
    <t>制造业景气</t>
  </si>
  <si>
    <t>PMI是制造业企业对近期订单与产出的预期汇总，上行代表扩张预期升温；景气改善时市场风险偏好抬升、成长股盈利弹性被重估，成长风格占优，反之价值防御性凸显。</t>
  </si>
  <si>
    <t>直接变量</t>
  </si>
  <si>
    <t>信贷与货币</t>
  </si>
  <si>
    <t>中长期贷款扩张反映实体融资意愿增强与货币环境宽松，信贷脉冲上行时企业资本开支预期改善、流动性溢价下降，有利于估值弹性更大的成长风格。</t>
  </si>
  <si>
    <t>g + liquidity</t>
  </si>
  <si>
    <t>消费与内需</t>
  </si>
  <si>
    <t>消费景气与居民信心改善驱动内需扩张预期，带动消费成长板块盈利预期上修；OECD CLI作为全球周期领先指标，同步捕捉外资风险偏好改善，共同利好成长风格。</t>
  </si>
  <si>
    <t>g + ε</t>
  </si>
  <si>
    <t>财政与投资</t>
  </si>
  <si>
    <t>制造业资本开支加速直接拉动设备与科技需求，利好成长；房地产投资则主要受益地产链价值股，方向相反，需区分投资类型——整体而言固投扩张对成长的拉动取决于结构是否偏向制造业与新基建。</t>
  </si>
  <si>
    <t>g + ROE/CF</t>
  </si>
  <si>
    <t>贸易与外需</t>
  </si>
  <si>
    <t>出口扩张支撑电子、机械、新能源等出口链成长股盈利；超预期的出口正向惊喜（预期差为正）进一步强化市场风险偏好，进口扩张则印证内需旺盛，两者共同利好成长风格占优。</t>
  </si>
  <si>
    <t>I</t>
  </si>
  <si>
    <t>本土折现率</t>
  </si>
  <si>
    <t>国内长、短端无风险利率是A股定价的直接折现率锚。利率上行时，远期现金流折现值压缩更大，久期更长的成长股估值受损更重，价值风格相对占优；反之，利率下行时成长弹性更大。</t>
  </si>
  <si>
    <t>r</t>
  </si>
  <si>
    <t>本土流动性</t>
  </si>
  <si>
    <t>银行间短端利率（SHIBOR）刻画市场即时资金松紧程度。流动性收紧时风险偏好下降，资金向低估值、高股息的价值股集中；流动性宽松时市场风险偏好抬升，成长风格弹性更强。</t>
  </si>
  <si>
    <t>r + liquidity</t>
  </si>
  <si>
    <t>直接/传导变量</t>
  </si>
  <si>
    <t>股债性价比</t>
  </si>
  <si>
    <t>通过股票盈利收益率（或股息率）与债券收益率的相对关系，衡量权益资产的吸引力。性价比处于历史高位时价值股的安全边际最厚、资金流入动力最强；性价比低位时市场更愿意为远期成长支付溢价。</t>
  </si>
  <si>
    <t>valuation + r + ε</t>
  </si>
  <si>
    <t>美债收益率</t>
  </si>
  <si>
    <t>美债收益率通过美元走势与全球风险偏好两条路径影响A股风格。美债上行时美元走强、外资风险偏好下降，倾向流入低估值的价值板块；美债下行时全球流动性宽松，成长风格获得更多外资增量配置。</t>
  </si>
  <si>
    <t>L</t>
  </si>
  <si>
    <t>货币总量</t>
  </si>
  <si>
    <t>货币供给总量扩张（M1/M2同比上升）压低实体融资成本与贴现率预期，对远期现金流估值更有利，利好成长风格；收缩时资金面趋紧，市场转向盈利确定性更强的价值风格。</t>
  </si>
  <si>
    <t>liquidity + r</t>
  </si>
  <si>
    <t>货币活化</t>
  </si>
  <si>
    <t>M1相对M2的超额增长反映企业活期存款增加、实体经济活跃度回升，预示盈利修复在即，利好价值/周期风格；M1-M2剪刀差收窄或转负则表明资金沉淀在准货币，"资产荒"逻辑下利好成长风格。</t>
  </si>
  <si>
    <t>liquidity + g</t>
  </si>
  <si>
    <t>O</t>
  </si>
  <si>
    <t>全球风险偏好</t>
  </si>
  <si>
    <t>全球风险偏好上升时，资金倾向于增配高弹性、高估值的成长股；风险偏好下降时，资金转向低估值、现金流稳定的价值股防御。</t>
  </si>
  <si>
    <t>ε</t>
  </si>
  <si>
    <t>全球科技成长</t>
  </si>
  <si>
    <t>半导体及科技产业景气度是全球成长风格的核心驱动力，产业上行周期中科技成长估值扩张逻辑顺畅，A股科技成长板块与全球半导体周期存在跨市场联动。</t>
  </si>
  <si>
    <t>全球贸易景气</t>
  </si>
  <si>
    <t>全球贸易扩张时实物需求改善，周期性价值板块（工业、材料、能源）直接受益；贸易收缩时周期需求预期走弱，资金转向与贸易周期相关性较低的成长板块。</t>
  </si>
  <si>
    <t>美国宏观</t>
  </si>
  <si>
    <t>美国经济扩张期外需改善，顺周期价值风格占优；经济走弱时市场转向寻找独立于周期的成长确定性溢价。</t>
  </si>
  <si>
    <t>P</t>
  </si>
  <si>
    <t>风格利润兑现</t>
  </si>
  <si>
    <t>成长股与价值股的盈利质量与经营效率分化，直接决定两类风格的超额收益兑现能力。当成长风格在净利润增速、ROE改善幅度、周转效率及盈利含金量上持续领先价值风格时，资金向成长风格集中，成长占优。</t>
  </si>
  <si>
    <t>ROE/CF + g</t>
  </si>
  <si>
    <t>风格利润预期</t>
  </si>
  <si>
    <t>分析师对成长风格盈利预期的边际修正方向，领先于业绩实际兑现，驱动市场定价重心的提前切换。预期持续上调时市场提前布局成长，成长占优；预期下修则触发风格切换。</t>
  </si>
  <si>
    <t>利润分配结构</t>
  </si>
  <si>
    <t>CPI与PPI的相对强弱反映宏观经济中下游消费端与上游工业端的利润分配格局。CPI强于PPI时，利润向下游消费与科技（成长）集中，成长占优；PPI强于CPI时，利润向上游资源与重工业（价值）集中，价值占优。</t>
  </si>
  <si>
    <t>ROE/CF</t>
  </si>
  <si>
    <t>总量经济与利润</t>
  </si>
  <si>
    <t>宏观经济总量的景气水平决定市场风险偏好的基准高度。总量景气上行时，弹性更高的成长风格受益更大；但若扩张由工业产能和杠杆驱动（资产负债率上行、存货积累），则利润向周期/价值集中，价值相对占优。</t>
  </si>
  <si>
    <t>g + ROE/CF + ε</t>
  </si>
  <si>
    <t>V</t>
  </si>
  <si>
    <t>日历效应</t>
  </si>
  <si>
    <t>由于机构考核周期、财报披露节奏和资金季节性再平衡行为，历史上不同月份的成长/价值超额收益呈现统计规律性偏差，可作为风格倾斜的概率权重信号。</t>
  </si>
  <si>
    <t>timing</t>
  </si>
  <si>
    <t>经验辅助</t>
  </si>
  <si>
    <t>市场趋势一致性</t>
  </si>
  <si>
    <t>RSRSrsq（高低价OLS拟合优度）和Beta比率均衡量成长/价值成分股对市场信号的"跟随程度"：成长侧Rsq更高或Beta更大，说明该风格处于趋势主导阶段，个股同向运动，动量策略有效；反之则市场进入反转/分散模式，价值防御特征凸显。</t>
  </si>
  <si>
    <t>momentum + ε</t>
  </si>
  <si>
    <t>价格确认</t>
  </si>
  <si>
    <t>动量</t>
  </si>
  <si>
    <t>成长/价值风格存在中短期的延续效应：近期跑赢的风格倾向于继续跑赢，背后是机构增量资金追随业绩、散户羊群效应以及指数成分再平衡的正反馈机制。上证指数的绝对动量则捕捉整体市场风险偏好的方向，牛市环境下成长弹性更大。</t>
  </si>
  <si>
    <t>momentum</t>
  </si>
  <si>
    <t>成交额</t>
  </si>
  <si>
    <t>成交额是资金实际流向的直接度量。成长侧成交额波动率相对更高，说明资金在主动切换配置方向；全市场成交额水平（短均线高于长均线）则反映增量资金入场，流动性扩张环境历史上更利好高弹性的成长风格。</t>
  </si>
  <si>
    <t>liquidity + ε + momentum</t>
  </si>
  <si>
    <t>估值</t>
  </si>
  <si>
    <t>市净率（PB）的边际变化捕捉市场对未来盈利预期的修正：PB阶段性回落后，意味着估值已被充分压缩、隐含的盈利预期改善空间更大，历史上往往对应成长股的相对收益修复窗口。</t>
  </si>
  <si>
    <t>valuation</t>
  </si>
  <si>
    <t>拥挤度</t>
  </si>
  <si>
    <t>当某一风格的交易过度集中时，偏度升高、峰度增大、波动率抬升，反映资金单边拥挤、未来反转风险上升。拥挤度低的风格边际买入空间更大，历史上对应更高的后续超额收益；大小盘/主动基金相对波动率的季度变化则捕捉机构仓位拥挤方向的动态切换。</t>
  </si>
  <si>
    <t>ε + positioning + valuation</t>
  </si>
  <si>
    <t>波动率</t>
  </si>
  <si>
    <t>市场整体波动率上升时，投资者风险偏好下降，倾向于转向估值低、股息稳定的价值股避险；成长/价值成分股下行半波动率之比则衡量两类风格的尾部风险分化，价值侧下行波动相对更小时，防御属性凸显并吸引资金流入。</t>
  </si>
  <si>
    <t>重仓度</t>
  </si>
  <si>
    <t>板块轮动烈度反映机构在金融地产、消费、周期、TMT之间的仓位再平衡压力：轮动剧烈时市场缺乏主线，风格信号可靠性下降；金融地产板块排名的季度跳变则直接指示价值风格的相对吸引力变化，是机构超配意愿的结构性代理变量。</t>
  </si>
  <si>
    <t>ε + positioning</t>
  </si>
  <si>
    <t>传导/确认变量</t>
  </si>
  <si>
    <t>商品通胀周期</t>
  </si>
  <si>
    <t>大宗商品价格上涨推升通胀预期，利率中枢随之抬升，压缩成长股的远期现金流折现价值，同时利好以能源、材料、金融为主的价值板块。CRB综合指数处于历史高分位时偏利好价值，低分位时通缩压力缓解、流动性宽松预期升温，成长风格相对占优。</t>
  </si>
  <si>
    <t>r + ROE/CF + g</t>
  </si>
  <si>
    <t>强势股占比</t>
  </si>
  <si>
    <t>成长池内跑赢市场的个股数量占比（扩散指数、强势股比例、MADI）衡量风格行情的"广度"：强势股占比高说明该风格的上涨由多数成分股共同参与而非少数龙头拉动，行情延续性更强、资金认可度更高；个股分化度低则意味着市场处于趋势主导而非反转模式，有利于成长风格的持续性。</t>
  </si>
  <si>
    <t>换手率</t>
  </si>
  <si>
    <t>换手率是资金关注度和交易活跃度的直接度量。成长侧换手率持续高于价值侧，反映增量资金正在主动流入；上行换手率/下行换手率之比（TVR_DN）进一步区分"放量上涨、缩量下跌"的强势结构；当成长/价值换手率比率触及历史极低分位并伴随成长动量转正时，意味着冷门风格出现关注度拐点，是均值回归与趋势共振的入场信号。</t>
  </si>
  <si>
    <t>liquidity + momentum + ε</t>
  </si>
  <si>
    <t>入选</t>
  </si>
  <si>
    <t>归类</t>
  </si>
  <si>
    <t>factor_name</t>
  </si>
  <si>
    <t>description</t>
  </si>
  <si>
    <t>factor_id</t>
  </si>
  <si>
    <t>nw_p_track&lt;0.2</t>
  </si>
  <si>
    <t>pos_ic_prob&gt;50%</t>
  </si>
  <si>
    <t>pearson_ic&gt;0</t>
  </si>
  <si>
    <t>rank_ic&gt;0</t>
  </si>
  <si>
    <t>总分</t>
  </si>
  <si>
    <t>全区间发生调仓次数 &gt; 15</t>
  </si>
  <si>
    <t>超额年化收益或绝对年化收益 &gt; 0</t>
  </si>
  <si>
    <t>超额夏普 &gt; 0</t>
  </si>
  <si>
    <t>成长/价值波段胜率均 &gt; 50%</t>
  </si>
  <si>
    <t>Period胜率 &gt; 52%</t>
  </si>
  <si>
    <t>盈亏比 &gt; 1</t>
  </si>
  <si>
    <t>期望收益 &gt; 0</t>
  </si>
  <si>
    <t>pass_sum</t>
  </si>
  <si>
    <t>period_win_rate</t>
  </si>
  <si>
    <t>payoff_ratio</t>
  </si>
  <si>
    <t>expectancy</t>
  </si>
  <si>
    <t>total_score</t>
  </si>
  <si>
    <t>monthly_win_rate</t>
  </si>
  <si>
    <t>机构开户数</t>
  </si>
  <si>
    <t>calc_rolling_zscore(sub_1, window=6) * (-1)</t>
  </si>
  <si>
    <t>C009</t>
  </si>
  <si>
    <t>偏股基金新发份额月度差分</t>
  </si>
  <si>
    <t xml:space="preserve">sub_1.shift(1) - sub_1 </t>
  </si>
  <si>
    <t>C012</t>
  </si>
  <si>
    <t>私募证券投资基金当月新增备案规模</t>
  </si>
  <si>
    <t>calc_rolling_zscore(sub_1, window=6)</t>
  </si>
  <si>
    <t>C015</t>
  </si>
  <si>
    <t>股票型基金新发份额相对趋势</t>
  </si>
  <si>
    <t>sub_1 - sub_1.rolling(3).mean()</t>
  </si>
  <si>
    <t>C017</t>
  </si>
  <si>
    <t>权益基金新发规模(月均)</t>
  </si>
  <si>
    <t>sub_1.rolling(window=12).mean()-sub_1</t>
  </si>
  <si>
    <t>C019</t>
  </si>
  <si>
    <t>公募基金资产管理规模（AUM）</t>
  </si>
  <si>
    <t>calc_rolling_z_score(sub_1/sub.shift(1)-1,12)</t>
  </si>
  <si>
    <t>C031</t>
  </si>
  <si>
    <t>美元指数</t>
  </si>
  <si>
    <t>C024</t>
  </si>
  <si>
    <t>美元指数收盘价</t>
  </si>
  <si>
    <t>data_yoy(llt(sub_1,5))</t>
  </si>
  <si>
    <t>C033</t>
  </si>
  <si>
    <t>美元指数（USDX）和90日/120日均线的关系，短期为现值，长期为90日或120日</t>
  </si>
  <si>
    <t>z_MA_div(sub_1, 5, 120, 252)</t>
  </si>
  <si>
    <t>C034</t>
  </si>
  <si>
    <t>美元兑人民币中间价</t>
  </si>
  <si>
    <t>(groupby("M").average() / groupby("M").average().shift(1) -1) * -1</t>
  </si>
  <si>
    <t>C035</t>
  </si>
  <si>
    <t>港币兑美元前月现汇汇率</t>
  </si>
  <si>
    <t>if(calc_rolling_mean(sub_1, window=20)&lt;7.77, (7.77-calc_rolling_mean(sub_1, window=20))/0.05, if(calc_rolling_mean(sub_1, window=20)&gt;7.83, (7.83-calc_rolling_mean(sub_1, window=20))/0.05, 0))</t>
  </si>
  <si>
    <t>C036</t>
  </si>
  <si>
    <t>美元兑港元远期汇率前月升贴水</t>
  </si>
  <si>
    <t>sign(sub_1-calc_rolling_mean(sub_1,window=Config.ANNUAL_TRADING_DAYS,min_periods=Config.ANNUAL_TRADING_DAYS))*max(abs(sub_1-calc_rolling_mean(sub_1,window=Config.ANNUAL_TRADING_DAYS,min_periods=Config.ANNUAL_TRADING_DAYS))-calc_rolling_std(sub_1,window=Config.ANNUAL_TRADING_DAYS,min_periods=Config.ANNUAL_TRADING_DAYS),0)/calc_rolling_std(sub_1,window=Config.ANNUAL_TRADING_DAYS,min_periods=Config.ANNUAL_TRADING_DAYS)</t>
  </si>
  <si>
    <t>C037</t>
  </si>
  <si>
    <t>人民币兑美元汇率月度变化率</t>
  </si>
  <si>
    <t>sign(sub_1/sub_1.shift(20)-1)*max(abs(sub_1/sub_1.shift(20)-1)-0.015,0)*(-1)</t>
  </si>
  <si>
    <t>C038</t>
  </si>
  <si>
    <t xml:space="preserve"> HIBOR+SOFR+即期利率拟合的美元兑港元单月掉期点</t>
  </si>
  <si>
    <t>sign((sub_1*(sub_2-sub_3)/100*30/360*10000)-calc_rolling_mean((sub_1*(sub_2-sub_3)/100*30/360*10000)-,window=Config.ANNUAL_TRADING_DAYS,min_periods=Config.ANNUAL_TRADING_DAYS))*max(abs((sub_1*(sub_2-sub_3)/100*30/360*10000)-calc_rolling_mean((sub_1*(sub_2-sub_3)/100*30/360*10000),window=Config.ANNUAL_TRADING_DAYS,min_periods=Config.ANNUAL_TRADING_DAYS))-calc_rolling_std((sub_1*(sub_2-sub_3)/100*30/360*10000),window=Config.ANNUAL_TRADING_DAYS,min_periods=Config.ANNUAL_TRADING_DAYS),0)/calc_rolling_std((sub_1*(sub_2-sub_3)/100*30/360*10000),window=Config.ANNUAL_TRADING_DAYS,min_periods=Config.ANNUAL_TRADING_DAYS)</t>
  </si>
  <si>
    <t>C039</t>
  </si>
  <si>
    <t>备选</t>
  </si>
  <si>
    <t>散户开户数</t>
  </si>
  <si>
    <t>calc_rolling_zscore(sub_1, window=12)</t>
  </si>
  <si>
    <t>C001</t>
  </si>
  <si>
    <t>A股账户新增开户数：合计：半年新高/新低事件</t>
  </si>
  <si>
    <t>if(sub_1 &gt; sub_1.rolling(window=6).max(),sub_1 - sub_1.rolling(window=6).max(),if(sub_1 &lt; sub_1.rolling(window=6).min(), sub_1.rolling(window=6).min()-sub_1,0))</t>
  </si>
  <si>
    <t>C002</t>
  </si>
  <si>
    <t>上证所 A 股账户新增开户数</t>
  </si>
  <si>
    <t>sub_1 - sub_1.rolling(window=6).mean()</t>
  </si>
  <si>
    <t>C004</t>
  </si>
  <si>
    <t>需优化</t>
  </si>
  <si>
    <t>中国股市融资买入额</t>
  </si>
  <si>
    <t>sub_1 - sub_1.rolling(6).mean()</t>
  </si>
  <si>
    <t>C030</t>
  </si>
  <si>
    <t>ETF总成交金额</t>
  </si>
  <si>
    <t>C032</t>
  </si>
  <si>
    <t>信用利差（5年期AA级中短期票据收益率-5年期国开债收益率）5日均线下穿250日均线（胜率60.47%，超额年化收益7.56%）</t>
  </si>
  <si>
    <t>D002</t>
  </si>
  <si>
    <t>AAA级5年期企业债与5年期国债利差</t>
  </si>
  <si>
    <t>(sub_1 - sub_2).rolling(window=9).mean()-(sub_1-sub_2)</t>
  </si>
  <si>
    <t>D009</t>
  </si>
  <si>
    <t>AA+级5年期企业债与5年期国债利差</t>
  </si>
  <si>
    <t>D010</t>
  </si>
  <si>
    <t>AA-AAA信用利差</t>
  </si>
  <si>
    <t>D011</t>
  </si>
  <si>
    <t>信用利差</t>
  </si>
  <si>
    <t>0.5 - _rolling_quantile_rank_year(rolling_mean(sub_1 - sub_2, window=5), year=2)</t>
  </si>
  <si>
    <t>D012</t>
  </si>
  <si>
    <t>信用利差:9月</t>
  </si>
  <si>
    <t>D015</t>
  </si>
  <si>
    <t>信用利差因子</t>
  </si>
  <si>
    <t>(sub_1 - sub_2).rolling(250).mean() - (sub_1 - sub_2).rolling(5).mean()</t>
  </si>
  <si>
    <t>D016</t>
  </si>
  <si>
    <t>M2-社融同比（趋势周期=1月，影响方向=负）</t>
  </si>
  <si>
    <t>data_diff(sub_1-sub_2)</t>
  </si>
  <si>
    <t>D001</t>
  </si>
  <si>
    <t>社融同比/M2同比（社融/M2（一致预期））</t>
  </si>
  <si>
    <t>data_yoy(sub_2/sub_1)</t>
  </si>
  <si>
    <t>D004</t>
  </si>
  <si>
    <t>1-需优化</t>
  </si>
  <si>
    <t>M2同比-名义GDP同比</t>
  </si>
  <si>
    <t>先将sub_1和sub_2的表join到一起，保留两个数列的index，在一个有、一个没有的时候，缺的那个先填NA，然后在每个日期（sub_1或sub_2数据出现新数据），计算最新的sub_1-sub_2（缺失值就往之前找，用上一个最新的值，不是NaN的就用自身数值）</t>
  </si>
  <si>
    <t>D005</t>
  </si>
  <si>
    <t>当月新增人民币贷款创近6个月新高</t>
  </si>
  <si>
    <t>if(sub_1 &gt; sub_1.rolling(window=6).max(),1,if(sub_1 &lt; sub_1.rolling(window=6).min(),-1,0))</t>
  </si>
  <si>
    <t>D019</t>
  </si>
  <si>
    <t>金融机构各项贷款余额同比突破6个月布林带下界</t>
  </si>
  <si>
    <t>if(sub_1 &lt; (sub_1.rolling(window=6).mean() - 2 * sub_1.rolling(window=6).std()),(sub_1.rolling(window=6).mean() - 2 * sub_1.rolling(window=6).std())-sub_1,if(sub_1 &gt; (sub_1.rolling(window=6).mean() + 2 * sub_1.rolling(window=6).std()),(sub_1.rolling(window=6).mean() + 2 * sub_1.rolling(window=6).std())-sub_1,0))</t>
  </si>
  <si>
    <t>D020</t>
  </si>
  <si>
    <t>信用扩张因子（中长期贷款同比边际变化）</t>
  </si>
  <si>
    <t>sub_1 - sub_1.rolling(window=2).mean().shift(1)</t>
  </si>
  <si>
    <t>D021</t>
  </si>
  <si>
    <t>社会融资规模存量增速</t>
  </si>
  <si>
    <t>sub_1-sub_1.rolling(window=3).mean()</t>
  </si>
  <si>
    <t>D022</t>
  </si>
  <si>
    <t>社融加权同比</t>
  </si>
  <si>
    <t>(((sub_1*2+sub_1.shift(1))/3) / ((sub_1.shift(12)+sub_1.shift(11)+sub_1.shift(10))/3) - 1)*(-1)</t>
  </si>
  <si>
    <t>D023</t>
  </si>
  <si>
    <t>CPI同比短期均线穿长期均线</t>
  </si>
  <si>
    <t>calc_rolling_zscore(sub_1 - sub_1.rolling(window=6 * Config.MONTH_DAYS).mean(),window=3*Config.ANNUAL_TRADING_DAYS,min_periods = 3*Config.ANNUAL_TRADING_DAYS))</t>
  </si>
  <si>
    <t>F001</t>
  </si>
  <si>
    <t>宏观事件：CPI同比处于相对高位(2.5%以上)，且超预期。</t>
  </si>
  <si>
    <t>calc_rolling_zscore(if((sub_1&gt;sub_2)+(sub_1&gt;0.025)==2,sub_1-sub_2,if((sub_1&lt;sub_2)&amp;(sub_1&lt;-0.025),sub_1-sub_2)),window = 3*Config.ANNUAL_DAYS,,min_periods = 3*Config.ANNUAL_TRADING_DAYS)</t>
  </si>
  <si>
    <t>F002</t>
  </si>
  <si>
    <t>calc_rolling_zscore(if((sub_1&gt;sub_2)+(sub_1&gt;sub_1.rolling_quantitle(windows=Config.3*ANNUAL_DAYS, quantile = 0.80))==2,sub_1-sub_2,if((sub_1&lt;sub_2)&amp;(sub_1&lt;sub_1.rolling_quantitle(windows=Config.3*ANNUAL_DAYS, quantile = (1-0.80)),sub_1-sub_2)),window = 3*Config.ANNUAL_DAYS,,min_periods = 3*Config.ANNUAL_TRADING_DAYS)</t>
  </si>
  <si>
    <t>F003</t>
  </si>
  <si>
    <t>CPI 当月同比</t>
  </si>
  <si>
    <t>sub_1</t>
  </si>
  <si>
    <t>F004</t>
  </si>
  <si>
    <t>CPI 当月同比_环比</t>
  </si>
  <si>
    <t>sub_1 - sub_1.shift(1)</t>
  </si>
  <si>
    <t>F005</t>
  </si>
  <si>
    <t>CPI指数</t>
  </si>
  <si>
    <t>F007</t>
  </si>
  <si>
    <t>CPI同比的环比增速</t>
  </si>
  <si>
    <t>if(sub_1 &gt; sub_1.rolling(window=6).max(),sub_1 - sub_1.rolling(window=6),if(sub_1 &lt; sub_1.rolling(window=6).min(),sub_1 - sub_1.rolling(window=6).min(),0))</t>
  </si>
  <si>
    <t>F008</t>
  </si>
  <si>
    <t>CPI月度同比</t>
  </si>
  <si>
    <t>sub_1 - sub_1.rolling(window=3).mean()</t>
  </si>
  <si>
    <t>F009</t>
  </si>
  <si>
    <t>CPI月度同比增速</t>
  </si>
  <si>
    <t>sub_1.shift(1)/sub_1-1</t>
  </si>
  <si>
    <t>F010</t>
  </si>
  <si>
    <t>F011</t>
  </si>
  <si>
    <t>CPI同比的环比</t>
  </si>
  <si>
    <t>F012</t>
  </si>
  <si>
    <t>CPI同比环比</t>
  </si>
  <si>
    <t>(sub_1 - sub_1.shift(1)).shift(2)</t>
  </si>
  <si>
    <t>F014</t>
  </si>
  <si>
    <t>CPI同比增速</t>
  </si>
  <si>
    <t>sub_1-sub_1.rolling(window=12).mean()</t>
  </si>
  <si>
    <t>F016</t>
  </si>
  <si>
    <t>CPI同比中期-长期均线差</t>
  </si>
  <si>
    <t>sub_1.rolling(window=6).mean() - sub_1.rolling(window=12).mean()</t>
  </si>
  <si>
    <t>F017</t>
  </si>
  <si>
    <t>CPIs</t>
  </si>
  <si>
    <t>居住CPI</t>
  </si>
  <si>
    <t>sub_1-sub_1.rolling(window=2).mean()</t>
  </si>
  <si>
    <t>F029</t>
  </si>
  <si>
    <t>F006</t>
  </si>
  <si>
    <t>PPI月度同比</t>
  </si>
  <si>
    <t>F018</t>
  </si>
  <si>
    <t>PPI月度同比增速</t>
  </si>
  <si>
    <t>F019</t>
  </si>
  <si>
    <t>PPI同比增速</t>
  </si>
  <si>
    <t>sub_1-sub_1.shift(1)</t>
  </si>
  <si>
    <t>F020</t>
  </si>
  <si>
    <t>PPI同比的环比（滞后2期）</t>
  </si>
  <si>
    <t xml:space="preserve">sub_ppi_yoy.shift(3) - sub_ppi_yoy.shift(2) </t>
  </si>
  <si>
    <t>F022</t>
  </si>
  <si>
    <t>PPI环比创最近6个月新高</t>
  </si>
  <si>
    <t>F023</t>
  </si>
  <si>
    <t>PPI同比突破6个月布林带上轨</t>
  </si>
  <si>
    <t>F024</t>
  </si>
  <si>
    <t>PPI同比趋势</t>
  </si>
  <si>
    <t>sub_1.rolling(window=12).mean() - sub_1.rolling(window=5).mean()</t>
  </si>
  <si>
    <t>F025</t>
  </si>
  <si>
    <t>PPI同比短期-中期均线差</t>
  </si>
  <si>
    <t>sub_1.rolling(window=6).mean() - sub_1.rolling(window=3).mean()</t>
  </si>
  <si>
    <t>F026</t>
  </si>
  <si>
    <t>PPI 当月同比</t>
  </si>
  <si>
    <t>F030</t>
  </si>
  <si>
    <t>PPI同比平滑值环比上升</t>
  </si>
  <si>
    <t>_rolling_sum_ratio_minus_one(sub_1, window=5, shift=1)</t>
  </si>
  <si>
    <t>F031</t>
  </si>
  <si>
    <t>工业增加值同比</t>
  </si>
  <si>
    <t>G072</t>
  </si>
  <si>
    <t>工业增加值月度同比</t>
  </si>
  <si>
    <t>calc_rolling_zscore((sub_1-50) * (-1), window=6)</t>
  </si>
  <si>
    <t>G027</t>
  </si>
  <si>
    <t>工业增加值同比（滞后1期）</t>
  </si>
  <si>
    <t>sub_1.shift(1)</t>
  </si>
  <si>
    <t>G028</t>
  </si>
  <si>
    <t>工业增加值同比增速</t>
  </si>
  <si>
    <t>sub_1*(-1)</t>
  </si>
  <si>
    <t>G048</t>
  </si>
  <si>
    <t>工业增加值月度同比增速</t>
  </si>
  <si>
    <t>G049</t>
  </si>
  <si>
    <t>工业增加值同比增长一阶差分</t>
  </si>
  <si>
    <t>sub_1.diff() * (-1)</t>
  </si>
  <si>
    <t>G050</t>
  </si>
  <si>
    <t>工业增加值同比环比</t>
  </si>
  <si>
    <t>(sub_1 - sub_1.shift(1)).shift(3)</t>
  </si>
  <si>
    <t>G052</t>
  </si>
  <si>
    <t>工业增加值同比环比（滞后3期）</t>
  </si>
  <si>
    <t>sub_1.shift(4)-sub_1.shift(3)</t>
  </si>
  <si>
    <t>G053</t>
  </si>
  <si>
    <t>工业增加值同比短期-长期均线差</t>
  </si>
  <si>
    <t>sub_1.rolling(window=3).mean() - sub_1.rolling(window=12).mean()</t>
  </si>
  <si>
    <t>G054</t>
  </si>
  <si>
    <t>发电量月度同比</t>
  </si>
  <si>
    <t>G055</t>
  </si>
  <si>
    <t>发电量月度同比增速</t>
  </si>
  <si>
    <t>G056</t>
  </si>
  <si>
    <t>PMI</t>
  </si>
  <si>
    <t>sub_1.rolling(window=3).mean() - sub_1.rolling(window=36).mean()</t>
  </si>
  <si>
    <t>G001</t>
  </si>
  <si>
    <t>PMI类指标季度均值和上季度均值的差分</t>
  </si>
  <si>
    <t>_rolling_sum_ratio_minus_one(sub_1-50, 3, 3)</t>
  </si>
  <si>
    <t>G004</t>
  </si>
  <si>
    <t>PMI（制造业PMI）</t>
  </si>
  <si>
    <t>sub_1-50</t>
  </si>
  <si>
    <t>G009</t>
  </si>
  <si>
    <t>if(data_diff(sub_1)&gt;0,calc_rolling_zscore(50-sub_1,12),0)</t>
  </si>
  <si>
    <t>G010</t>
  </si>
  <si>
    <t>PMI-50作为环比增速推算同比增速</t>
  </si>
  <si>
    <t>calc_rolling_zscore(sub_1-50,12)</t>
  </si>
  <si>
    <t>G012</t>
  </si>
  <si>
    <t>PMI同比短期均线穿长期均线</t>
  </si>
  <si>
    <t>z_MA_div(sub_1, 3, 6, 12)</t>
  </si>
  <si>
    <t>G015</t>
  </si>
  <si>
    <t>PMI (3MA)</t>
  </si>
  <si>
    <t>llt(sub_1-50,3)</t>
  </si>
  <si>
    <t>G016</t>
  </si>
  <si>
    <t>PMI-50</t>
  </si>
  <si>
    <t>G021</t>
  </si>
  <si>
    <t>if(scipy.stats.norm.ppf(sub_1)&gt;scipy.stats.norm.ppf(sub_1).expanding().quantile(0.66),scipy.stats.norm.ppf(sub_1) - scipy.stats.norm.ppf(sub_1).expanding().quantile(0.66),if(scipy.stats.norm.ppf(sub_1)&lt;scipy.stats.norm.ppf(sub_1).expanding().quantile(0.33),scipy.stats.norm.ppf(sub_1).expanding().quantile(0.33)-scipy.stats.norm.ppf(sub_1),0) * (-1)</t>
  </si>
  <si>
    <t>G025</t>
  </si>
  <si>
    <t>sub_1.rolling(window=36).mean() - sub_1.rolling(window=3).mean()</t>
  </si>
  <si>
    <t>G026</t>
  </si>
  <si>
    <t>PMI 3个月移动平均（去中心化）</t>
  </si>
  <si>
    <t>sub_1.sub(50).rolling(3).mean()</t>
  </si>
  <si>
    <t>G029</t>
  </si>
  <si>
    <t>PMI同比</t>
  </si>
  <si>
    <t>sub_1 / sub_1.shift(12) - 1</t>
  </si>
  <si>
    <t>G031</t>
  </si>
  <si>
    <t>PMI同比短期-长期均线差</t>
  </si>
  <si>
    <t>G032</t>
  </si>
  <si>
    <t>PMI处于相对高位且超预期</t>
  </si>
  <si>
    <t>(sub_1&gt; 51) and (sub_1 &gt; sub_2) if(sub_1&lt;49 and sub_1&lt;sub_2,sub_2-sub_1,if(sub_1&gt;51 and sub_1&gt;sub_2, sub_2-sub_1,0)</t>
  </si>
  <si>
    <t>G033</t>
  </si>
  <si>
    <t>PMI新订单季均差分</t>
  </si>
  <si>
    <t xml:space="preserve">sub_1.rolling(3).mean().shift(1) - sub_1.rolling(3).mean() </t>
  </si>
  <si>
    <t>G036</t>
  </si>
  <si>
    <t xml:space="preserve">sub_1.rolling(3).mean().shift(3) - sub_1.rolling(3).mean() </t>
  </si>
  <si>
    <t>G037</t>
  </si>
  <si>
    <t>PMI新订单同比短期-长期均线差</t>
  </si>
  <si>
    <t>sub_1.rolling(window=8).mean() - sub_1.rolling(window=16).mean()</t>
  </si>
  <si>
    <t>G038</t>
  </si>
  <si>
    <t>GDP当季同比：半年新高事件</t>
  </si>
  <si>
    <t>if(sub_1 &gt; sub_1.rolling(window=6).max(),sub_1 - sub_1.rolling(window=6).max(),if(sub_1 &lt; sub_1.rolling(window=6).min(), sub_1.rolling(window=6).min()-sub_1,0))*(-1)</t>
  </si>
  <si>
    <t>G068</t>
  </si>
  <si>
    <t>中长期贷款余额同比</t>
  </si>
  <si>
    <t>G002</t>
  </si>
  <si>
    <t>新增中长期人民币贷款</t>
  </si>
  <si>
    <t>rollingsum(sub_1,window=12)/(rollingsum(sub_1,window=12).shift(1))-1</t>
  </si>
  <si>
    <t>G020</t>
  </si>
  <si>
    <t>G071</t>
  </si>
  <si>
    <t>新增社零</t>
  </si>
  <si>
    <t>G006</t>
  </si>
  <si>
    <t>G022</t>
  </si>
  <si>
    <t>非制造业PMI：半年新低事件</t>
  </si>
  <si>
    <t>G034</t>
  </si>
  <si>
    <t>消费者信心指数</t>
  </si>
  <si>
    <t>G057</t>
  </si>
  <si>
    <t>sub_1.shift(2)</t>
  </si>
  <si>
    <t>G058</t>
  </si>
  <si>
    <t>sub_1 - sub_1.rolling(window=9).mean()</t>
  </si>
  <si>
    <t>G059</t>
  </si>
  <si>
    <t>消费品零售总额月度同比</t>
  </si>
  <si>
    <t>G061</t>
  </si>
  <si>
    <t>全国消费品零售总额月度同比增速</t>
  </si>
  <si>
    <t>sub_1 / sub_1.shift(1) -1</t>
  </si>
  <si>
    <t>G062</t>
  </si>
  <si>
    <t>社会消费品零售总额同比环比</t>
  </si>
  <si>
    <t>G063</t>
  </si>
  <si>
    <t>OECD综合领先指标(CLI)</t>
  </si>
  <si>
    <t>G064</t>
  </si>
  <si>
    <t>OECD综合领先指标</t>
  </si>
  <si>
    <t>G065</t>
  </si>
  <si>
    <t>滞销指标</t>
  </si>
  <si>
    <t>(sub_1-50)-(sub_2-50)</t>
  </si>
  <si>
    <t>G069</t>
  </si>
  <si>
    <t>制造业固定资产投资完成额累计同比环比上升</t>
  </si>
  <si>
    <t>G003</t>
  </si>
  <si>
    <t>一般公共预算支出</t>
  </si>
  <si>
    <t>G024</t>
  </si>
  <si>
    <t>房地产投资累计同比增速变化</t>
  </si>
  <si>
    <t>G039</t>
  </si>
  <si>
    <t>房屋竣工面积同比增减</t>
  </si>
  <si>
    <t>G066</t>
  </si>
  <si>
    <t>固定资产投资完成额累计同比突破6个月布林带上界</t>
  </si>
  <si>
    <t>if(sub_1 &lt; (sub_1.rolling(window=6).mean() - 2 * sub_1.rolling(window=6).std()),(sub_1.rolling(window=6).mean() - 2 * sub_1.rolling(window=6).std())-sub_1,if(sub_1 &gt; (sub_1.rolling(window=6).mean() + 2 * sub_1.rolling(window=6).std()),(sub_1.rolling(window=6).mean() + 2 * sub_1.rolling(window=6).std())-sub_1,0))*(-1)</t>
  </si>
  <si>
    <t>G067</t>
  </si>
  <si>
    <t>宏观事件：出口当月同比预期环比下降，实际环比上升</t>
  </si>
  <si>
    <t>calc_rolling_zscore(if(sub_1*sub_2&lt;0,sub_2-sub_1,0),24)</t>
  </si>
  <si>
    <t>G005</t>
  </si>
  <si>
    <t>新增出口额(美元)TTM同比增速</t>
  </si>
  <si>
    <t>calc_rolling_zscore(if(sub_1.rolling(window=12).mean()*sub_1.rolling(window=12).mean().shift(1)&gt;0,sub_1.rolling(window=12).mean()/sub_1.rolling(window=12).mean().shift(1)-1,sub_1.rolling(window=12).mean()),18)</t>
  </si>
  <si>
    <t>G017</t>
  </si>
  <si>
    <t>新增出口额（美元）</t>
  </si>
  <si>
    <t>rollingsum(sub_1,window=12)/(rollingsum(sub_1,window=12).shift(1))</t>
  </si>
  <si>
    <t>G023</t>
  </si>
  <si>
    <t>出口当月同比预期环比下降实际环比上升</t>
  </si>
  <si>
    <t>if((sub_2 - sub_2.shift(1) &lt; 0) and (sub_1 - sub_1.shift(1) &gt; 0),sub_2.shift(1)-sub(2)+sub_1+sub_1.shift(1),if((sub_2 - sub_2.shift(1) &gt; 0) and (sub_1 - sub_1.shift(1) &lt; 0),sub_2-sub_2.shift(1)+sub_1.shift(1)-sub(1),0)</t>
  </si>
  <si>
    <t>G042</t>
  </si>
  <si>
    <t>进口额同比</t>
  </si>
  <si>
    <t>G043</t>
  </si>
  <si>
    <t>出口总额环比</t>
  </si>
  <si>
    <t>G044</t>
  </si>
  <si>
    <t>进出口金额：当月同比：半年新高事件</t>
  </si>
  <si>
    <t>G045</t>
  </si>
  <si>
    <t>实际-预测：工业增加值当月同比：半年新高事件</t>
  </si>
  <si>
    <t>if(sub_1 &gt; sub_1.rolling(window=6).max()) and (sub_1 &gt; sub_2),sub_1 - sub_1.rolling(window=6).max(), if(sub_1 &lt; sub_1.rolling(window=6).min() and sub_1&lt;sub_2,sub_1.rolling(window=6).min() -sub_1,0))</t>
  </si>
  <si>
    <t>G046</t>
  </si>
  <si>
    <t>十年中债国债到期收益率</t>
  </si>
  <si>
    <t>_rolling_quantile_rank_year(sub_1, year=3)</t>
  </si>
  <si>
    <t>I001</t>
  </si>
  <si>
    <t>1年期国债到期收益率</t>
  </si>
  <si>
    <t>I003</t>
  </si>
  <si>
    <t>国债到期收益率 十年期（无风险利率）</t>
  </si>
  <si>
    <t>I013</t>
  </si>
  <si>
    <t>SHIBOR 3M，短期为最新值，长期为近3月均线</t>
  </si>
  <si>
    <t>z_MA_div(sub_1, 1, 3, 12)</t>
  </si>
  <si>
    <t>I004</t>
  </si>
  <si>
    <t>3个月SHIBOR利率</t>
  </si>
  <si>
    <t>z_MA_div(sub_1, 5, 250, 252)</t>
  </si>
  <si>
    <t>I005</t>
  </si>
  <si>
    <t>SHIBOR利率</t>
  </si>
  <si>
    <t>I006</t>
  </si>
  <si>
    <t>SHIBOR利率近五日均值在过去三年中的百分位</t>
  </si>
  <si>
    <t>if((_rolling_quantile_rank_year(MA(sub_1,5), 3)&gt;0.75),_rolling_quantile_rank_year(MA(sub_1,5), 3)-0.75,if((_rolling_quantile_rank_year(MA(sub_1,5), 3)&lt;0.25),0.25-_rolling_quantile_rank_year(MA(sub_1,5), 3),0)</t>
  </si>
  <si>
    <t>I007</t>
  </si>
  <si>
    <t>股债收益溢价</t>
  </si>
  <si>
    <t>_rolling_quantile_rank_year（stock_monthly_return - bond_monthly_return,year=3)</t>
  </si>
  <si>
    <t>I057</t>
  </si>
  <si>
    <t>股权风险溢价(ERP)相对趋势</t>
  </si>
  <si>
    <t>erp = (1 / sub_pe) / sub_yield; erp - erp.rolling(63).mean()</t>
  </si>
  <si>
    <t>I058</t>
  </si>
  <si>
    <t>股债收益率差</t>
  </si>
  <si>
    <t>_rolling_quantile_rank_year(sub_1-sub_2,year=3)</t>
  </si>
  <si>
    <t>I059</t>
  </si>
  <si>
    <t>股债性价比分位数</t>
  </si>
  <si>
    <t>DIV_Y = sub_div - sub_yield10; Q = _rolling_quantile_rank_year(DIV_Y, year=4); signal = 1 if Q &gt; 0.9 else -1 if Q &lt; 0.1 else 0</t>
  </si>
  <si>
    <t>I060</t>
  </si>
  <si>
    <t>市场拐点期（股债性价比）</t>
  </si>
  <si>
    <t>_rolling_quantile_rank_year(sub_dividend - sub_bond10y, year=4)</t>
  </si>
  <si>
    <t>I061</t>
  </si>
  <si>
    <t>股票分红率</t>
  </si>
  <si>
    <t>I072</t>
  </si>
  <si>
    <t>美国信用利差</t>
  </si>
  <si>
    <t>z_MA_div(sub_1.sort_index(ascending=True).shift(2),5,250,252)</t>
  </si>
  <si>
    <t>I073</t>
  </si>
  <si>
    <t>十年到期国债收益率 美国</t>
  </si>
  <si>
    <t>calc_rolling_zscore(sub_1 - calc_llt(sub_1, 12), window_z)</t>
  </si>
  <si>
    <t>I074</t>
  </si>
  <si>
    <t>美国6个月国债收益率</t>
  </si>
  <si>
    <t>I002</t>
  </si>
  <si>
    <t>3M美债YTM近一季均值和前三季均值比较</t>
  </si>
  <si>
    <t>z_MA_div(sub_1, 60, 240, 252)</t>
  </si>
  <si>
    <t>I009</t>
  </si>
  <si>
    <t>1M美债YTM近10日均值在过去一年中的分位数</t>
  </si>
  <si>
    <t>if((_rolling_quantile_rank_year(MA(sub_1,10), 1)&gt;0.75),_rolling_quantile_rank_year(MA(sub_1,10), 1)-0.75,if((_rolling_quantile_rank_year(MA(sub_1,10), 1)&lt;0.25),0.25-_rolling_quantile_rank_year(MA(sub_1,10), 1),0)</t>
  </si>
  <si>
    <t>I010</t>
  </si>
  <si>
    <t>6个月美债收益率分位数（近三年）</t>
  </si>
  <si>
    <t>if((_rolling_quantile_rank_year(sub_1, 3)&gt;0.75),_rolling_quantile_rank_year(sub_1, 3)-0.75,if((_rolling_quantile_rank_year(sub_1, 3)&lt;0.25),0.25-_rolling_quantile_rank_year(sub_1, 3),0)</t>
  </si>
  <si>
    <t>I011</t>
  </si>
  <si>
    <t>美国2年期国债到期收益率月度均值（历史胜率56.35%）</t>
  </si>
  <si>
    <t>calc_rolling_zscore(sub_1.rolling(window=20).mean(), 252)</t>
  </si>
  <si>
    <t>I012</t>
  </si>
  <si>
    <t>2年期美国国债到期收益率</t>
  </si>
  <si>
    <t>I025</t>
  </si>
  <si>
    <t>M1同比平滑值环比下降</t>
  </si>
  <si>
    <t>L005</t>
  </si>
  <si>
    <t>M0同比</t>
  </si>
  <si>
    <t>L006</t>
  </si>
  <si>
    <t>M2 当月同比</t>
  </si>
  <si>
    <t>L007</t>
  </si>
  <si>
    <t>M2 一致预期（M2同比超于预期或低于预期）</t>
  </si>
  <si>
    <t>L008</t>
  </si>
  <si>
    <t>M2，短期均线为原始值，长期均线为12月</t>
  </si>
  <si>
    <t>z_MA_div(sub_1, 1, Config.ANNUAL_DAYS,3*Config.ANNUAL_DAYS)</t>
  </si>
  <si>
    <t>L009</t>
  </si>
  <si>
    <t>宏观事件：M2同比超预期/低预期</t>
  </si>
  <si>
    <t>calc_rolling_zscore(if((sub_1&gt;sub_2),sub_1-sub_2,if(sub_1&lt;sub_2,sub_2-sub_1,0)))</t>
  </si>
  <si>
    <t>L010</t>
  </si>
  <si>
    <t>M2同比平滑值环比上升</t>
  </si>
  <si>
    <t>data_diff(llt(sub_1, 5))</t>
  </si>
  <si>
    <t>L011</t>
  </si>
  <si>
    <t>M1 当月同比（历史胜率55.16%）</t>
  </si>
  <si>
    <t>L020</t>
  </si>
  <si>
    <t>备备选</t>
  </si>
  <si>
    <t>M1同比（趋势周期=6月）</t>
  </si>
  <si>
    <t>llt(sub_1,6)</t>
  </si>
  <si>
    <t>L021</t>
  </si>
  <si>
    <t>M0同比（历史胜率55.95%）</t>
  </si>
  <si>
    <t>L023</t>
  </si>
  <si>
    <t>M2-M1 当月同比</t>
  </si>
  <si>
    <t>calc_rolling_zscore(sub_2-sub_1)</t>
  </si>
  <si>
    <t>L014</t>
  </si>
  <si>
    <t>M2同比-M1同比</t>
  </si>
  <si>
    <t>data_yoy(sub_2-sub_1)</t>
  </si>
  <si>
    <t>L015</t>
  </si>
  <si>
    <t>z_data_deviation(sub_2-sub_1,3,12)</t>
  </si>
  <si>
    <t>L016</t>
  </si>
  <si>
    <t>M1-M2短期均线穿长期均线</t>
  </si>
  <si>
    <t>z_MA_div(sub_2-sub_1, 3, 6, 12)</t>
  </si>
  <si>
    <t>L018</t>
  </si>
  <si>
    <t>M1-M0 当月同比</t>
  </si>
  <si>
    <t>sub_2-sub_1</t>
  </si>
  <si>
    <t>L024</t>
  </si>
  <si>
    <t>M1同比-M2同比</t>
  </si>
  <si>
    <t>sub_1-sub_2</t>
  </si>
  <si>
    <t>L028</t>
  </si>
  <si>
    <t>CBOE波动率指数前月涨跌幅</t>
  </si>
  <si>
    <t>sign(calc_rolling_zscore(sub_1,window=Config.ANNUAL_DAYS, min_periods=Config.ANNUAL_DAYS))*max(abs(calc_rolling_zscore(sub_1,window-250,min)periods=120))-1,0)</t>
  </si>
  <si>
    <t>O011</t>
  </si>
  <si>
    <t>纳斯达克100相对于SP500的超额收益</t>
  </si>
  <si>
    <t>sub_2/sub_2.shift(20)-1))*max(abs((sub_1/sub_1.shift(20)-1)-(sub_2/sub_2.shift(20)-1))-0.03,0)</t>
  </si>
  <si>
    <t>O017</t>
  </si>
  <si>
    <t>费城半导体指数（SOX除SPX外影响）</t>
  </si>
  <si>
    <t>sign((sub_1/sub_1.shift(20)-1)-(sub_2/sub_2.shift(20)-1))*max(abs((sub_1/sub_1.shift(20)-1)-(sub_2/sub_2.shift(20)-1))-0.05,0)</t>
  </si>
  <si>
    <t>O019</t>
  </si>
  <si>
    <t>费城半导体指数（SOX），对数斜率分位点算法</t>
  </si>
  <si>
    <t>calc_rolling_rank(calc_rolling_slope(log(sub_1),window=60,min_periods=60),window=1250,min_periods=500)*2-1</t>
  </si>
  <si>
    <t>O020</t>
  </si>
  <si>
    <t>费城半导体指数（SOX），偏离长期趋势z-score算法</t>
  </si>
  <si>
    <t>calc_rolling_rank((log(sub_1)-calc_rolling_mean(log(sub_1),window=250,min_periods=250))/calc_rolling_std(log(sub_1),window=250,min_periods=250),window=1250,min_periods=500)*2-1</t>
  </si>
  <si>
    <t>O022</t>
  </si>
  <si>
    <t>费城半导体指数（SOX），R方加权斜率算法</t>
  </si>
  <si>
    <t>calc_rolling_rank(calc_rolling_slope(log(sub_1),window=60,min_periods=60)*pow(calc_rolling_corr(log(sub_1),time_index,window=60,min_periods=60),2),window=1250,min_periods=500)*2-1</t>
  </si>
  <si>
    <t>O023</t>
  </si>
  <si>
    <t>费城半导体指数（SOX），多时间尺度斜率共振算法</t>
  </si>
  <si>
    <t>(calc_rolling_rank(calc_rolling_slope(log(sub_1),window=20,min_periods=20),window=1250,min_periods=500)+calc_rolling_rank(calc_rolling_slope(log(sub_1),window=60,min_periods=60),window=1250,min_periods=500)+calc_rolling_rank(calc_rolling_slope(log(sub_1),window=120,min_periods=120),window=1250,min_periods=500))/3*2-1</t>
  </si>
  <si>
    <t>O024</t>
  </si>
  <si>
    <t>韩国半导体出口金额，当月值</t>
  </si>
  <si>
    <t>sign(sub_1/sub_1.shift(12)-1-calc_rolling_mean(sub_1/sub_1.shift(12)-1,window=36,min_periods=24))*max(abs(sub_1/sub_1.shift(12)-1-calc_rolling_mean(sub_1/sub_1.shift(12)-1,window=36,min_periods=24))-calc_rolling_std(sub_1/sub_1.shift(12)-1,window=36,min_periods=24),0)/calc_rolling_std(sub_1/sub_1.shift(12)-1,window=36,min_periods=24)</t>
  </si>
  <si>
    <t>O025</t>
  </si>
  <si>
    <t>波罗的海干散货指数突破6个月布林带上轨</t>
  </si>
  <si>
    <t>sign(sub_1-calc_rolling_mean(sub_1,window=120,min_periods=120))*max(abs(sub_1-calc_rolling_mean(sub_1,window=120,min_periods=120))-2*calc_rolling_std(sub_1,window=120,min_periods=120),0)/calc_rolling_std(sub_1,window=120,min_periods=120)*(-1)</t>
  </si>
  <si>
    <t>O015</t>
  </si>
  <si>
    <t>PMI 美国</t>
  </si>
  <si>
    <t>O001</t>
  </si>
  <si>
    <t>非农就业人数</t>
  </si>
  <si>
    <t>calc_rolling_zscore(data_yoy(sub_1),24)</t>
  </si>
  <si>
    <t>O002</t>
  </si>
  <si>
    <t>美国CPI同比（趋势周期=1月）</t>
  </si>
  <si>
    <t>data_diff(sub_1)</t>
  </si>
  <si>
    <t>O008</t>
  </si>
  <si>
    <t>失业率 美国</t>
  </si>
  <si>
    <t>O009</t>
  </si>
  <si>
    <t>相对预期净利润增速差</t>
  </si>
  <si>
    <t>weighted_mean(Con_np_yoy_roll | 000905 constituents, I_WEIGHT) - weighted_mean(Con_np_yoy_roll | 000300 constituents, I_WEIGHT)</t>
  </si>
  <si>
    <t>P018</t>
  </si>
  <si>
    <t>中证500-沪深300归母净利润TTM增速差</t>
  </si>
  <si>
    <t>sub_1 - sub_2</t>
  </si>
  <si>
    <t>P021</t>
  </si>
  <si>
    <t>风格景气差（基于行业占比的累计增速环比）</t>
  </si>
  <si>
    <t>style_score_399370 - style_score_399371</t>
  </si>
  <si>
    <t>P022</t>
  </si>
  <si>
    <t>改成国证成长和国证价值</t>
  </si>
  <si>
    <t>创业板指与沪深300指数ROE单季度同比增速差值变化</t>
  </si>
  <si>
    <t>(ROE_399006(t) - ROE_399006(t-4)) - (ROE_000300(t) - ROE_000300(t-4))</t>
  </si>
  <si>
    <t>P023</t>
  </si>
  <si>
    <t>一致预期ROE 3个月变化</t>
  </si>
  <si>
    <t>sub_1 - sub_1.shift(3)</t>
  </si>
  <si>
    <t>P035</t>
  </si>
  <si>
    <t>相对盈利优势（价值ROE-成长ROE）</t>
  </si>
  <si>
    <t>sub_1 - sub_2  # sub_1 = 国证成长ROE(整体法), sub_2 = 国证价值ROE(整体法)</t>
  </si>
  <si>
    <t>P037</t>
  </si>
  <si>
    <t>综合基本面财务因子</t>
  </si>
  <si>
    <t>(sub_1 + sub_2 + sub_3 + sub_4 + sub_5 + sub_6) / 6，每个sub都是后面的指标的成长-价值得分</t>
  </si>
  <si>
    <t>P042</t>
  </si>
  <si>
    <t>经营活动净收益/利润总额</t>
  </si>
  <si>
    <t>(sub_1 / sub_2 - (sub_1 / sub_2).rolling(26).mean()) * (-1)</t>
  </si>
  <si>
    <t>P043</t>
  </si>
  <si>
    <t>归母权益/带息负债</t>
  </si>
  <si>
    <t>((sub_1/sub_2)_growth - (sub_1/sub_2)_value)*(-1)</t>
  </si>
  <si>
    <t>P044</t>
  </si>
  <si>
    <t>营业外收支净额/利润总额</t>
  </si>
  <si>
    <t>((sub_1 / sub_2) - (sub_3 / sub_4))*(-1)</t>
  </si>
  <si>
    <t>P045</t>
  </si>
  <si>
    <t>应收账款周转天数变化差分</t>
  </si>
  <si>
    <t>(sub_1 - sub_1.shift(1))*(-1)</t>
  </si>
  <si>
    <t>P049</t>
  </si>
  <si>
    <t>归母所有者权益/全部资本变化差分</t>
  </si>
  <si>
    <t>P050</t>
  </si>
  <si>
    <t>(成长-价值)毛利率</t>
  </si>
  <si>
    <t>(sub_1.rolling(13).mean() - sub_1.rolling(26).mean())</t>
  </si>
  <si>
    <t>P053</t>
  </si>
  <si>
    <t>(成长-价值)存货周转率</t>
  </si>
  <si>
    <t>(sub_1.rolling(5).mean() - sub_1.rolling(13).mean())</t>
  </si>
  <si>
    <t>P054</t>
  </si>
  <si>
    <t>(成长-价值)应收账款周转率</t>
  </si>
  <si>
    <t>P055</t>
  </si>
  <si>
    <t>(成长-价值)总资产周转率</t>
  </si>
  <si>
    <t>P056</t>
  </si>
  <si>
    <t>归母净利润增速差</t>
  </si>
  <si>
    <t>(sub_1 - sub_2).rolling(13).mean() - (sub_1 - sub_2).rolling(26).mean() # sub_1 = 国证成长归母净利润TTM同比增速, sub_2 = 国证价值归母净利润TTM同比增速</t>
  </si>
  <si>
    <t>P058</t>
  </si>
  <si>
    <t>业绩增速差综合信号</t>
  </si>
  <si>
    <t>sub_i = growth_yoy_i - value_yoy_i; if count(sub_i &gt; 0) &gt;= 2 then 1 elif count(sub_i &lt; 0) &gt;= 2 then -1 else 0</t>
  </si>
  <si>
    <t>P061</t>
  </si>
  <si>
    <t>标准化每股收益</t>
  </si>
  <si>
    <t># 使用指数季频EPS，向前填充至日频
eps = sub_EPS.resample('D').ffill()
factor = calc_rolling_zscore(eps, window=window_z, min_periods=window_z)</t>
  </si>
  <si>
    <t>P062</t>
  </si>
  <si>
    <t>标准化股息率</t>
  </si>
  <si>
    <t># 股息率高 =&gt; 偏价值特征，但研报显示高股息率反而成为Loser（超额收益为负）
# 方向不明确；取原始z-score，高股息率取负（翻转），使 &gt;0 对应成长
dp = sub_DP
raw = calc_rolling_zscore(dp, window=window_z, min_periods=window_z)
factor = raw * (-1)</t>
  </si>
  <si>
    <t>P063</t>
  </si>
  <si>
    <t>分析师一致预期净利润变化-3个月</t>
  </si>
  <si>
    <t>P046</t>
  </si>
  <si>
    <t>分析师一致预期净利润变化</t>
  </si>
  <si>
    <t>P047</t>
  </si>
  <si>
    <t>CPI-PPI剪刀差</t>
  </si>
  <si>
    <t>(sub_1 - sub_2).rolling(window=3).mean() - (sub_1 - sub_2).rolling(window=12).mean()</t>
  </si>
  <si>
    <t>P001</t>
  </si>
  <si>
    <t>CPI同比-PPI同比</t>
  </si>
  <si>
    <t>P002</t>
  </si>
  <si>
    <t>CPI-PPI近三个月均值-过去12个月均值</t>
  </si>
  <si>
    <t>calc_rolling_zscore((sub_1-sub_2).rolling(window=3*Config.MONTH_DAYS).mean() - (sub_1-sub_2).rolling(window=Config.ANNUAL_DAYS).mean(),window=3*Config.ANNUAL_TRADING_DAYS,min_periods = 3*Config.ANNUAL_TRADING_DAYS))</t>
  </si>
  <si>
    <t>P004</t>
  </si>
  <si>
    <t>PPI与CPI当月同比剪刀差</t>
  </si>
  <si>
    <t>P006</t>
  </si>
  <si>
    <t>PPI-CPI连续上行或下行</t>
  </si>
  <si>
    <t>calc_rolling_zscore(sub_1-sub_2+sub_1.shift(1)-sub_2.shift(1), window = 4*config.annual_days)</t>
  </si>
  <si>
    <t>P008</t>
  </si>
  <si>
    <t>PPI-CPI加权环比</t>
  </si>
  <si>
    <t>P009</t>
  </si>
  <si>
    <t>工业企业产成品存货</t>
  </si>
  <si>
    <t>0-sub_1</t>
  </si>
  <si>
    <t>P016</t>
  </si>
  <si>
    <t>工业企业利润总额增速</t>
  </si>
  <si>
    <t>-sub_1</t>
  </si>
  <si>
    <t>P019</t>
  </si>
  <si>
    <t>全指净利润同比增速</t>
  </si>
  <si>
    <t>P033</t>
  </si>
  <si>
    <t>全指营收同比增速</t>
  </si>
  <si>
    <t>(sub_1.rolling(13).mean() - sub_1.rolling(26).mean())  # sub_1 = 中证全指TTM营收同比增速</t>
  </si>
  <si>
    <t>P038</t>
  </si>
  <si>
    <t>全指净资产收益率(ROE)</t>
  </si>
  <si>
    <t>(sub_1.rolling(13).mean() - sub_1.rolling(26).mean())  # sub_1 = 中证全指TTM ROE</t>
  </si>
  <si>
    <t>P039</t>
  </si>
  <si>
    <t>全指资产负债率</t>
  </si>
  <si>
    <t>(sub_1.rolling(13).mean() - sub_1.rolling(26).mean())  # sub_1 = 中证全指资产负债率</t>
  </si>
  <si>
    <t>P040</t>
  </si>
  <si>
    <t>全指流动比率</t>
  </si>
  <si>
    <t>(sub_1.rolling(13).mean() - sub_1.rolling(5).mean())  # sub_1 = 中证全指流动比率</t>
  </si>
  <si>
    <t>P041</t>
  </si>
  <si>
    <t>全指毛利率</t>
  </si>
  <si>
    <t>P052</t>
  </si>
  <si>
    <t>V209</t>
  </si>
  <si>
    <t>成长价值日历效应月份因子</t>
  </si>
  <si>
    <t># 事件型因子：用历史胜率偏差作为连续强度替代
# 研报全样本(2005-2018)中各月成长超额收益均值作为权重
# 此处用固定偏差值编码历史均值方向与强度（需实际拟合后替换）
month = pd.to_datetime(date_index).month
# 使用稀疏输出规范：对输入变量分别 zscore 后组合
# 以成长/价值收益差序列对月份分组计算均值作为强度
growth_ret = growth_close.pct_change()
value_ret  = value_close.pct_change()
ret_diff   = growth_ret - value_ret            # 日频成长超额
monthly_diff = ret_diff.resample('M').sum()    # 月度成长超额
# 按月份统计历史胜率偏差（expanding 模拟实时可知信息）
month_label = monthly_diff.index.month
month_strength = monthly_diff.groupby(month_label).expanding().mean().droplevel(0)
# 当月所属月份对应的历史均值作为因子强度
factor = month_strength.reindex(monthly_diff.index)
# 中性月份（1/5/7/11）方向不稳定，输出接近 0，无需手工截断</t>
  </si>
  <si>
    <t>V113</t>
  </si>
  <si>
    <t>待完善</t>
  </si>
  <si>
    <t>月份效应：6月份事件</t>
  </si>
  <si>
    <t># 6月份触发价值信号，连续化处理：触发月输出负值（偏离0的幅度），其余月份=0
# 用距月末剩余交易日占比作为强度衰减
days_in_month = sub_1.index.days_in_month
day_of_month = sub_1.index.day
progress = day_of_month / days_in_month  # 月内进度 0~1
factor = pd.Series(0.0, index=sub_1.index)
is_june = (sub_1.index.month == 6)
# 6月份方向为价值 =&gt; 输出负值；强度随月内进度线性变化
factor[is_june] = -(progress[is_june])</t>
  </si>
  <si>
    <t>V138</t>
  </si>
  <si>
    <t>月份效应：12月份事件</t>
  </si>
  <si>
    <t># 12月份触发价值信号，连续化处理同F012
days_in_month = sub_1.index.days_in_month
day_of_month = sub_1.index.day
progress = day_of_month / days_in_month
factor = pd.Series(0.0, index=sub_1.index)
is_dec = (sub_1.index.month == 12)
# 12月份方向为价值 =&gt; 输出负值
factor[is_dec] = -(progress[is_dec])</t>
  </si>
  <si>
    <t>V139</t>
  </si>
  <si>
    <t>MOM_RSRSrsq因子比率（成长/价值）</t>
  </si>
  <si>
    <t># RSRS 拟合优度：以 N 日高低价做 OLS 回归，取 R²
# 成分股合成：取成长/价值指数成分股的等权 R² 均值后作比率
# 个股日频高低价
high = S_DQ_ADJHIGH   # 宽表：index=TRADE_DT, columns=stock_code
low  = S_DQ_ADJLOW
def rsrs_rsq(high_ser, low_ser, window=18):
    """滚动计算 RSRS R²"""
    rsq = pd.Series(index=high_ser.index, dtype=float)
    for i in range(window, len(high_ser)):
        y = high_ser.iloc[i-window:i].values
        x = low_ser.iloc[i-window:i].values
        _, _, r, _, _ = scipy.stats.linregress(x, y)
        rsq.iloc[i] = r ** 2
    return rsq
# 对每只股票计算 RSRSrsq
rsq_all = high.apply(lambda col: rsrs_rsq(col, low[col.name]))
# 成长成分股（399370）等权平均
growth_comps = AIndexHS300FreeWeight[AIndexHS300FreeWeight['S_INFO_WINDCODE']=='399370.SZ']['S_CON_WINDCODE']
sub_1 = rsq_all[growth_comps].mean(axis=1)
# 价值成分股（399371）等权平均
value_comps = AIndexHS300FreeWeight[AIndexHS300FreeWeight['S_INFO_WINDCODE']=='399371.SZ']['S_CON_WINDCODE']
sub_2 = rsq_all[value_comps].mean(axis=1)
raw    = sub_1 / sub_2   # &gt;1 成长RSRS拟合优度更高 =&gt; 成长
factor = calc_rolling_zscore(raw - 1, window=504)</t>
  </si>
  <si>
    <t>V114</t>
  </si>
  <si>
    <t>Beta_40D因子比率（成长/价值）</t>
  </si>
  <si>
    <t># 成长/价值成分股来自growth_factor_Fri.parquet和value_factor_Fri.parquet
# 市场收益率用AIndexEODPrices中399370+399371合并近似，或用Wind全A
# 个股日收益率来自mktP.parquet
window = 40
# 计算各成分股40日Beta（CAPM回归斜率）
# beta_stock = rolling_cov(ret_stock, ret_market, w) / rolling_var(ret_market, w)
ret_mkt = mktP_market['Adjprcwd'].pct_change()  # 用市场指数替代
# 成长指数成分股加权Beta
growth_beta = (
    growth_components
    .merge(beta_stock, on='component')
    .groupby('holding_date')
    .apply(lambda x: (x['beta_40d'] * x['weight']).sum() / x['weight'].sum())
)
# 价值指数成分股加权Beta
value_beta = (
    value_components
    .merge(beta_stock, on='component')
    .groupby('holding_date')
    .apply(lambda x: (x['beta_40d'] * x['weight']).sum() / x['weight'].sum())
)
raw = growth_beta / value_beta - 1  # &gt;0成长Beta更高=&gt;偏成长
factor = calc_rolling_zscore(raw, window=504)</t>
  </si>
  <si>
    <t>V196</t>
  </si>
  <si>
    <t>Beta_80D因子比率（成长/价值）</t>
  </si>
  <si>
    <t># 同F004，将rolling窗口改为80天
window = 80
growth_beta_80 = (
    growth_components
    .merge(beta_stock_80d, on='component')
    .groupby('holding_date')
    .apply(lambda x: (x['beta_80d'] * x['weight']).sum() / x['weight'].sum())
)
value_beta_80 = (
    value_components
    .merge(beta_stock_80d, on='component')
    .groupby('holding_date')
    .apply(lambda x: (x['beta_80d'] * x['weight']).sum() / x['weight'].sum())
)
raw = growth_beta_80 / value_beta_80 - 1
factor = calc_rolling_zscore(raw, window=504)</t>
  </si>
  <si>
    <t>V197</t>
  </si>
  <si>
    <t>Beta_100D因子比率（成长/价值）</t>
  </si>
  <si>
    <t># 同F004，将rolling窗口改为100天
window = 100
growth_beta_100 = (
    growth_components
    .merge(beta_stock_100d, on='component')
    .groupby('holding_date')
    .apply(lambda x: (x['beta_100d'] * x['weight']).sum() / x['weight'].sum())
)
value_beta_100 = (
    value_components
    .merge(beta_stock_100d, on='component')
    .groupby('holding_date')
    .apply(lambda x: (x['beta_100d'] * x['weight']).sum() / x['weight'].sum())
)
raw = growth_beta_100 / value_beta_100 - 1
factor = calc_rolling_zscore(raw, window=504)</t>
  </si>
  <si>
    <t>V198</t>
  </si>
  <si>
    <t>Rsq_40D因子比率（成长/价值）</t>
  </si>
  <si>
    <t># 对成长指数(399370)成分股，滚动40日做 CAPM 回归得 Rsq，按权重加权平均
# market_ret = 全A等权日收益率
from scipy.stats import linregress
def rolling_rsq(ret_series, market_ret, window=40):
    rsq = ret_series.rolling(window).apply(
        lambda y: linregress(market_ret.loc[y.index], y)[2]**2, raw=False)
    return rsq
growth_comps = IndexComponents[IndexComponents['S_INFO_WINDCODE']=='399370.SZ']
value_comps  = IndexComponents[IndexComponents['S_INFO_WINDCODE']=='399371.SZ']
# 对每只成分股计算 Rsq_40D，再按权重加权
growth_rsq_40 = (rolling_rsq(stock_ret, mkt_ret, 40) * growth_weight).groupby(level='date').sum()
value_rsq_40  = (rolling_rsq(stock_ret, mkt_ret, 40) * value_weight).groupby(level='date').sum()
raw = growth_rsq_40 / value_rsq_40 - 1  # 比率偏离1的幅度，&gt;0代表成长Rsq更高
factor = calc_rolling_zscore(raw, window=504)</t>
  </si>
  <si>
    <t>V199</t>
  </si>
  <si>
    <t>Rsq_80D因子比率（成长/价值）</t>
  </si>
  <si>
    <t># 同 F007，区别仅在于窗口改为 80 日
from scipy.stats import linregress
def rolling_rsq(ret_series, market_ret, window=80):
    rsq = ret_series.rolling(window).apply(
        lambda y: linregress(market_ret.loc[y.index], y)[2]**2, raw=False)
    return rsq
growth_comps = IndexComponents[IndexComponents['S_INFO_WINDCODE']=='399370.SZ']
value_comps  = IndexComponents[IndexComponents['S_INFO_WINDCODE']=='399371.SZ']
growth_rsq_80 = (rolling_rsq(stock_ret, mkt_ret, 80) * growth_weight).groupby(level='date').sum()
value_rsq_80  = (rolling_rsq(stock_ret, mkt_ret, 80) * value_weight).groupby(level='date').sum()
raw = growth_rsq_80 / value_rsq_80 - 1
factor = calc_rolling_zscore(raw, window=504)</t>
  </si>
  <si>
    <t>V200</t>
  </si>
  <si>
    <t>RSW相对强弱指标</t>
  </si>
  <si>
    <t># sub_1=成长指数收盘价(399370)，sub_2=价值指数收盘价(399371)
# 以周频重采样，参考MACD(12,26,9)
r1 = sub_1.resample('W-FRI').last().pct_change()
r2 = sub_2.resample('W-FRI').last().pct_change()
rr = np.log(1 + r1) - np.log(1 + r2)
M, N, L = 12, 26, 9  # 默认参数，需优化
DIF = rr.rolling(window=M).mean() - rr.rolling(window=N).mean()
DEA = DIF.rolling(window=L).mean()
RSW = DIF - DEA
factor = calc_rolling_zscore(RSW, window=504)</t>
  </si>
  <si>
    <t>V092</t>
  </si>
  <si>
    <t>改进的行业涨跌比</t>
  </si>
  <si>
    <t># close为个股日收盘价宽表(行=日期，列=股票代码)，需筛选成长/价值指数成分股
# 改进涨跌比：多窗口平均以降低噪声
up_flag = (close &gt; close.shift(1)).astype(float)
improved_udr_list = []
for w in [18, 19, 20, 21, 22]:
    u1 = up_flag.rolling(w).mean()
    u2 = up_flag.shift(1).rolling(w).mean()
    improved_udr_list.append((u1 + u2) / 2)
improved_udr = pd.concat(improved_udr_list, axis=1).mean(axis=1)  # 按列平均（对成分股取均值）
# 分别在成长指数和价值指数成分股上计算，再作差
growth_udr = improved_udr[growth_components].mean(axis=1)
value_udr  = improved_udr[value_components].mean(axis=1)
raw = growth_udr - value_udr
factor = calc_rolling_zscore(raw, window=504)</t>
  </si>
  <si>
    <t>V093</t>
  </si>
  <si>
    <t>行业ETF标准化残差</t>
  </si>
  <si>
    <t># industry_ret: 中信行业指数周收益率（行=日期，列=行业名）
# market_ret: 沪深300周收益率
# 对每个行业滚动24周OLS，计算标准化残差均值
# 最终：成长相关行业（科技/医药/消费）标准化残差均值 - 价值相关行业（金融/能源/地产）标准化残差均值
from sklearn.linear_model import LinearRegression
def rolling_ols_resid_norm(ind_ret, mkt_ret, window=24, n=4):
    results = []
    for i in range(window, len(ind_ret)+1):
        y = ind_ret.iloc[i-window:i]
        x = mkt_ret.iloc[i-window:i].values.reshape(-1,1)
        reg = LinearRegression().fit(x, y)
        resid = y - reg.predict(x)
        std_resid = resid / resid.std()
        results.append(std_resid.iloc[-n:].mean())
    return pd.Series(results, index=ind_ret.index[window-1:])
# 对成长行业和价值行业分别计算，取差值
growth_industries = ['中信行业指数:计算机','中信行业指数:电子','中信行业指数:医药','中信行业指数:电力设备及新能源','中信行业指数:传媒']
value_industries  = ['中信行业指数:银行','中信行业指数:非银行金融','中信行业指数:石油石化','中信行业指数:煤炭','中信行业指数:房地产']
growth_score = rolling_ols_resid_norm(industry_ret[growth_industries], market_ret).mean(axis=1)
value_score  = rolling_ols_resid_norm(industry_ret[value_industries], market_ret).mean(axis=1)
raw = growth_score - value_score
factor = calc_rolling_zscore(raw, window=504)</t>
  </si>
  <si>
    <t>V094</t>
  </si>
  <si>
    <t>中证500/中证100收盘价比值</t>
  </si>
  <si>
    <t># 中证500(000905) 代表成长，中证100(000903) 代表价值
# index_eod.parquet 中按 Indexcd 筛选，取 Idxtrd05 收盘价
close_500 = index_eod.loc[index_eod['Indexcd']=='000905', ['Idxtrd01','Idxtrd05']].set_index('Idxtrd01')['Idxtrd05']
close_100 = index_eod.loc[index_eod['Indexcd']=='000903', ['Idxtrd01','Idxtrd05']].set_index('Idxtrd01')['Idxtrd05']
# 研报使用周频；日频数据重采样到周末
close_500_w = close_500.resample('W').last()
close_100_w = close_100.resample('W').last()
ratio = close_500_w / close_100_w
# 均线差：ratio 高于短期MA时偏成长，低于时偏价值；以12周MA作为中期参考（研报未明确，取合理默认）
ma_n = ratio.rolling(window=12).mean()
raw = ratio - ma_n
factor = calc_rolling_zscore(raw, window=104)  # 104周≈2年</t>
  </si>
  <si>
    <t>V095</t>
  </si>
  <si>
    <t>中证500/中证100成交额比值</t>
  </si>
  <si>
    <t># Idxtrd07 为成份证券成交金额
amt_500 = index_eod.loc[index_eod['Indexcd']=='000905', ['Idxtrd01','Idxtrd07']].set_index('Idxtrd01')['Idxtrd07']
amt_100 = index_eod.loc[index_eod['Indexcd']=='000903', ['Idxtrd01','Idxtrd07']].set_index('Idxtrd01')['Idxtrd07']
# 周频成交额汇总
amt_500_w = amt_500.resample('W').sum()
amt_100_w = amt_100.resample('W').sum()
ratio_amt = amt_500_w / amt_100_w
# 均线差（M窗口研报未明确，默认8周，短于价格窗口12周）
ma_m = ratio_amt.rolling(window=8).mean()
raw = ratio_amt - ma_m
factor = calc_rolling_zscore(raw, window=104)</t>
  </si>
  <si>
    <t>V096</t>
  </si>
  <si>
    <t>中证500/沪深300相对强弱指标</t>
  </si>
  <si>
    <t># 该因子为 F002(V099) 的中间变量，自身不直接产生信号
# 保留比值序列供下游均线计算使用
close_500 = index_eod.loc[index_eod['Indexcd']=='000905', ['Idxtrd01','Idxtrd05']].set_index('Idxtrd01')['Idxtrd05']
close_300 = hs300_close  # 沪深300(000300.SH)-历史价格.xlsx
sub_1 = close_500 / close_300
factor = calc_rolling_zscore(sub_1 - sub_1.rolling(252).mean(), window=504)</t>
  </si>
  <si>
    <t>V098</t>
  </si>
  <si>
    <t>中证500/沪深300相对强弱指标10日与30日均线差</t>
  </si>
  <si>
    <t># sub_1 为 V098 的比值序列（中证500/沪深300）
close_500 = index_eod.loc[index_eod['Indexcd']=='000905', ['Idxtrd01','Idxtrd05']].set_index('Idxtrd01')['Idxtrd05']
close_300 = hs300_close
sub_1 = close_500 / close_300
# 10日均线 - 30日均线；差值&gt;0成长，&lt;0价值，方向符合规范
raw = sub_1.rolling(window=10).mean() - sub_1.rolling(window=30).mean()
factor = calc_rolling_zscore(raw, window=504)</t>
  </si>
  <si>
    <t>V099</t>
  </si>
  <si>
    <t>相对强弱：沪深300-中证500月收益率差</t>
  </si>
  <si>
    <t># 沪深300代表大盘/价值，中证500代表中小盘/成长
# HS300收益 &gt; ZZ500收益 =&gt; 价值占优；反向：ZZ500 - HS300 &gt; 0 =&gt; growth
ret_HS300 = calc_rolling_return(close_HS300, window=20)
ret_ZZ500 = calc_rolling_return(close_ZZ500, window=20)
raw = ret_ZZ500 - ret_HS300   # &gt;0 成长(中证500)跑赢价值(沪深300)
factor = calc_rolling_zscore(raw, window=504)</t>
  </si>
  <si>
    <t>V105</t>
  </si>
  <si>
    <t>风格相对强弱指数</t>
  </si>
  <si>
    <t># 以国证成长(399370)为风格指数1，国证价值(399371)为风格指数2
# ln(cum_return_growth+1) - ln(cum_return_value+1) = ln(close_g/close_g_base) - ln(close_v/close_v_base)
# 等价于 log(close_g) - log(close_v) + const，直接用对数价格差表示相对强弱
rs = np.log(close_growth) - np.log(close_value)   # &gt;0成长相对强势
factor = calc_rolling_zscore(rs, window=504)</t>
  </si>
  <si>
    <t>V106</t>
  </si>
  <si>
    <t>风格相对强弱指数斜率 (β1)</t>
  </si>
  <si>
    <t># rs为V106相对强弱指数：log(close_growth) - log(close_value)
rs = np.log(close_growth) - np.log(close_value)
# 移动窗口线性回归取斜率，窗口建议60个交易日
beta1 = calc_rolling_linear_regression_slope(rs, window=60)
# β1&gt;0表示成长相对强势趋势向上
factor = calc_rolling_zscore(beta1, window=504)</t>
  </si>
  <si>
    <t>V107</t>
  </si>
  <si>
    <t>风格相对强弱指数斜率变化率 (β2)</t>
  </si>
  <si>
    <t># beta1为V107斜率序列
rs = np.log(close_growth) - np.log(close_value)
beta1 = calc_rolling_linear_regression_slope(rs, window=60)
beta2 = beta1 - beta1.shift(1)   # β2 &gt; 0 表示成长相对强势加速
factor = calc_rolling_zscore(beta2, window=504)</t>
  </si>
  <si>
    <t>V108</t>
  </si>
  <si>
    <t>风格相对强弱斜率(一阶导数)</t>
  </si>
  <si>
    <t># rs为V109相对强弱序列
rs = np.log(close_growth) - np.log(close_value)
# 先做移动平均过滤（平滑窗口建议20日），再滚动线性回归取斜率
rs_smooth = rs.rolling(20).mean()
slope = calc_rolling_linear_regression_slope(rs_smooth, window=60)
# slope&gt;0表示成长相对强势趋势向上
factor = calc_rolling_zscore(slope, window=504)</t>
  </si>
  <si>
    <t>V110</t>
  </si>
  <si>
    <t>风格相对强弱二阶导数</t>
  </si>
  <si>
    <t># 第一步：计算成长/价值相对强弱比率
growth_close = growth_index['close']
value_close  = value_index['close']
ratio = growth_close / value_close
# 第二步：一阶导数（移动窗口线性回归斜率）
slope_series = ratio.rolling(window=window_w1).apply(
    lambda x: np.polyfit(np.arange(len(x)), x, 1)[0], raw=True
)
# 第三步：二阶导数（对一阶导数序列再做移动窗口线性回归）
raw = slope_series.rolling(window=window_w2).apply(
    lambda x: np.polyfit(np.arange(len(x)), x, 1)[0], raw=True
)
# &gt;0 加速向成长，&lt;0 加速向价值，直接输出无需翻转
factor = calc_rolling_zscore(raw, window=504)</t>
  </si>
  <si>
    <t>V111</t>
  </si>
  <si>
    <t>超买超卖因子</t>
  </si>
  <si>
    <t># 以RSI近似超买超卖判断（个股级RSI不可得时，用成长/价值指数RSI代理）
# 方案A：用 growth_index RSI5D 与 value_index RSI5D 差值作为代理
growth_rsi = growth_index['RSI_5D']
value_rsi  = value_index['RSI_5D']
raw_diff = growth_rsi - value_rsi
# 5日均线与250日均线趋势判断，保留连续差值而非离散化
short_ma = raw_diff.rolling(5).mean()
long_ma  = raw_diff.rolling(250).mean()
# 短均线超过长均线 =&gt; 成长侧超买强于价值侧 =&gt; growth信号
factor = short_ma - long_ma</t>
  </si>
  <si>
    <t>V134</t>
  </si>
  <si>
    <t>指数20日动量差</t>
  </si>
  <si>
    <t>calc_rolling_return(growth_price, window=4, return_type=Config.RETURN_TYPE) - calc_rolling_return(value_price, window=4, return_type=Config.RETURN_TYPE)</t>
  </si>
  <si>
    <t>V002</t>
  </si>
  <si>
    <t>成长/价值动量</t>
  </si>
  <si>
    <t>V004</t>
  </si>
  <si>
    <t>399370.SZ_close.pct_change(20) - 399371.SZ_close.pct_change(20)</t>
  </si>
  <si>
    <t>V023</t>
  </si>
  <si>
    <t>上证指数3个月收益动量</t>
  </si>
  <si>
    <t>factor = calc_rolling_return(szzs_close, window=60, return_type=Config.RETURN_TYPE)</t>
  </si>
  <si>
    <t>V026</t>
  </si>
  <si>
    <t>动量效应</t>
  </si>
  <si>
    <t>ret_diff = (calc_rolling_return(value_close, window=255)
            - calc_rolling_return(growth_close, window=255))
factor = calc_rolling_zscore(ret_diff, window=255) * (-1)</t>
  </si>
  <si>
    <t>V027</t>
  </si>
  <si>
    <t>相对动量：相对强弱的一阶差分(滞后5期)</t>
  </si>
  <si>
    <t>ret_growth_1m = calc_rolling_return(growth_close, window=20)
ret_value_1m  = calc_rolling_return(value_close,  window=20)
rs = ret_growth_1m - ret_value_1m
factor = rs - rs.shift(5)</t>
  </si>
  <si>
    <t>V035</t>
  </si>
  <si>
    <t>市场涨跌动量</t>
  </si>
  <si>
    <t>factor = calc_rolling_return(hs300_close, window=63, return_type='simple')</t>
  </si>
  <si>
    <t>V037</t>
  </si>
  <si>
    <t>价值/成长相对强弱指数动量突破</t>
  </si>
  <si>
    <t>ret_value  = value_close.pct_change()
ret_growth = growth_close.pct_change()
rsi = (1 + ret_value).cumprod() / (1 + ret_growth).cumprod()
upper = rsi.rolling(60).max()
lower = rsi.rolling(60).min()
# 连续值:rsi 相对通道中点的归一化位置,范围 [-1, 1]
mid   = (upper + lower) / 2
half  = (upper - lower) / 2
factor = ((rsi - mid) / half) * (-1)</t>
  </si>
  <si>
    <t>V038</t>
  </si>
  <si>
    <t>成长价值相对动量（均线突破）</t>
  </si>
  <si>
    <t>rel_nv = (1 + growth_close.pct_change()).cumprod() \
         / (1 + value_close.pct_change()).cumprod()
factor = rel_nv - rel_nv.rolling(window=20).mean()</t>
  </si>
  <si>
    <t>V041</t>
  </si>
  <si>
    <t>创新高新低因子</t>
  </si>
  <si>
    <t># 在成长指数成分股集合上计算
is_3m_high = (close &gt;= close.rolling(63).max())
is_3m_low  = (close &lt;= close.rolling(63).min())
amt_high_ratio = (amount * is_3m_high)[growth_components].sum(axis=1) \
                 / amount[growth_components].sum(axis=1)
amt_low_ratio  = (amount * is_3m_low)[growth_components].sum(axis=1) \
                 / amount[growth_components].sum(axis=1)
growth_factor = amt_high_ratio - amt_low_ratio
# 同样在价值指数成分股上算 value_factor
diff = growth_factor - value_factor
factor = diff.rolling(5).mean() - diff.rolling(250).mean()</t>
  </si>
  <si>
    <t>V051</t>
  </si>
  <si>
    <t>动量因子</t>
  </si>
  <si>
    <t>rel_nv = growth_close / value_close
factor = rel_nv.rolling(20).mean() - rel_nv.rolling(180).mean()</t>
  </si>
  <si>
    <t>V052</t>
  </si>
  <si>
    <t>反转效应</t>
  </si>
  <si>
    <t>ret_diff = (calc_rolling_return(value_close,  window=60)
            - calc_rolling_return(growth_close, window=60))
factor = calc_rolling_zscore(ret_diff, window=180) * (-1)</t>
  </si>
  <si>
    <t>V053</t>
  </si>
  <si>
    <t>（成长－价值）收益差</t>
  </si>
  <si>
    <t>ret_diff = (calc_rolling_return(value_close,  window=20)
            - calc_rolling_return(growth_close, window=20))
factor = calc_rolling_zscore(ret_diff, window=180) * (1)</t>
  </si>
  <si>
    <t>V057</t>
  </si>
  <si>
    <t>价格相对强弱(成长价值)</t>
  </si>
  <si>
    <t>ret_diff = (calc_rolling_return(value_close,  window=40)
            - calc_rolling_return(growth_close, window=40))
factor = calc_rolling_zscore(ret_diff, window=window_z) * (1)</t>
  </si>
  <si>
    <t>V059</t>
  </si>
  <si>
    <t>过去20日夏普比率</t>
  </si>
  <si>
    <t>import numpy as np
close_g = index_eod.loc[index_eod['Indexcd'] == '399370', 'Idxtrd05'].ffill()
close_v = index_eod.loc[index_eod['Indexcd'] == '399371', 'Idxtrd05'].ffill()
ret_g = close_g.pct_change()
ret_v = close_v.pct_change()
sharpe_g = ret_g.rolling(20).mean() / ret_g.rolling(20).std() * np.sqrt(252)
sharpe_v = ret_v.rolling(20).mean() / ret_v.rolling(20).std() * np.sqrt(252)
raw = sharpe_g - sharpe_v
factor = calc_rolling_zscore(raw, window=504)</t>
  </si>
  <si>
    <t>V086</t>
  </si>
  <si>
    <t>巨潮价值-成长相对涨幅</t>
  </si>
  <si>
    <t># sub_1=国证成长(399370)收盘价，sub_2=国证价值(399371)收盘价，用作巨潮成长/价值替代
# 研报原始方向：成长涨幅/价值涨幅 &gt;1 =&gt; 成长强；此处转为差值形式，&gt;0 =&gt; growth
window_N = 126  # 约6个月交易日
growth_ret = sub_1.pct_change(window_N)
value_ret  = sub_2.pct_change(window_N)
raw = growth_ret - value_ret
factor = calc_rolling_zscore(raw, window=504)</t>
  </si>
  <si>
    <t>V087</t>
  </si>
  <si>
    <t>前三个月累计小价值回报率之差</t>
  </si>
  <si>
    <t># sub_1=成长指数过去63日累计收益，sub_2=价值指数过去63日累计收益
# 研报原始信号：&gt;0 =&gt; value（动量反转），此处乘以-1翻转方向
growth_ret_3m = sub_1.pct_change(63)
value_ret_3m  = sub_2.pct_change(63)
raw = (growth_ret_3m - value_ret_3m) * (-1)
factor = calc_rolling_zscore(raw, window=504)</t>
  </si>
  <si>
    <t>V088</t>
  </si>
  <si>
    <t>成长价值指数相对强弱指标</t>
  </si>
  <si>
    <t># sub_1=申万成长指数日收盘价（以国证成长399370替代），sub_2=申万价值指数日收盘价（以国证价值399371替代）
# ln(成长/价值)的累积对数相对强弱；&gt;0表示成长累计涨幅强于价值
log_rs = np.log(sub_1 / sub_2)  # 等价于累计对数收益率之差
raw = log_rs - log_rs.rolling(252).mean()  # 去趋势，保留偏离程度
factor = calc_rolling_zscore(raw, window=504)</t>
  </si>
  <si>
    <t>V089</t>
  </si>
  <si>
    <t>成长价值相对振幅（对数差）</t>
  </si>
  <si>
    <t># sub_1=中证100每日振幅(最高-最低)，sub_2=中证500每日振幅(最高-最低)
# 研报：中证100代表价值大盘，中证500代表成长小盘
# 原始方向：log(sub_1)-log(sub_2) 未明确，此处 &gt;0 表示价值振幅大 =&gt; 不利成长 =&gt; 乘以-1翻转
amp_100 = sub_1_high - sub_1_low  # 中证100振幅
amp_500 = sub_2_high - sub_2_low  # 中证500振幅
raw = (np.log(amp_100) - np.log(amp_500)) * (-1)  # 翻转：500振幅相对更大 =&gt; 成长活跃 =&gt; factor&gt;0
factor = calc_rolling_zscore(raw, window=504)</t>
  </si>
  <si>
    <t>V091</t>
  </si>
  <si>
    <t>成长价值指数涨幅差(滞后3期)</t>
  </si>
  <si>
    <t># 同 V101，滞后期改为3个月
close_large = hs300_close.resample('ME').last()
close_growth = csi1000_close.resample('ME').last()
ret_large = close_large.pct_change()
ret_growth = close_growth.pct_change()
# 翻转使 &gt;0 =&gt; growth，滞后3期
raw = (ret_large - ret_growth).shift(3) * (-1)
factor = calc_rolling_zscore(raw, window=24)</t>
  </si>
  <si>
    <t>V102</t>
  </si>
  <si>
    <t>成交量相对强弱(成长价值)</t>
  </si>
  <si>
    <t># 成交量相对强弱：value换手率 / growth换手率，比值&gt;1表示价值交投更活跃（偏价值），反向取负
# turnover_rate = amount / 流通市值，直接用换手率代替(成交金额/流通市值)
turnover_g = growth_close['turnover_rate']
turnover_v = value_close['turnover_rate']
raw = turnover_g / turnover_v - 1   # &gt;0成长换手相对更高 =&gt; growth
factor = calc_rolling_zscore(raw, window=504)</t>
  </si>
  <si>
    <t>V103</t>
  </si>
  <si>
    <t>价格比：沪深300/中证500</t>
  </si>
  <si>
    <t># 原策略：log(HS300/ZZ500) &lt; 20日均线 =&gt; growth，即相对价格下穿均线时偏成长
# 将偏离方向内化：均线 - 当前值，偏低（成长占优）时为正
log_ratio = np.log(close_HS300 / close_ZZ500)
ma20 = log_ratio.rolling(20).mean()
raw = ma20 - log_ratio   # log_ratio &lt; ma20 时 raw &gt; 0 =&gt; growth
factor = calc_rolling_zscore(raw, window=504)</t>
  </si>
  <si>
    <t>V104</t>
  </si>
  <si>
    <t>成长成长多空能量信号</t>
  </si>
  <si>
    <t># AR指标标准公式：AR = sum(high-open, N) / sum(open-low, N) * 100
# N=26日为常用周期；研报信号规则：AR&gt;过去60日均值=&gt;成长，AR&lt;均值=&gt;价值
# 转连续值：保留AR相对均值的偏离幅度
high = growth_index['high']
low  = growth_index['low']
open_ = growth_index['open']
AR = (high - open_).rolling(26).sum() / (open_ - low).rolling(26).sum() * 100
raw = AR - AR.rolling(60).mean()  # 偏离60日均值，&gt;0表示能量增强=&gt;成长
factor = calc_rolling_zscore(raw, window=504)</t>
  </si>
  <si>
    <t>V123</t>
  </si>
  <si>
    <t>成长价值相对强弱指数</t>
  </si>
  <si>
    <t># 注：研报意图为成长相对价值强弱，但calc_method写的是沪深300/中证2000
# 沪深300偏大盘价值，中证2000偏小盘成长，比值上升=价值占优，需取反
# 用国证成长(399370)/国证价值(399371)更贴合「成长价值相对强弱」语义
growth_close = growth_index['close']  # 399370
value_close  = value_index['close']   # 399371
raw = growth_close / value_close
factor = calc_rolling_zscore(raw, window=504)</t>
  </si>
  <si>
    <t>V131</t>
  </si>
  <si>
    <t>收益率相对波动</t>
  </si>
  <si>
    <t># 用国证成长(399370)/国证价值(399371)收益率波动率之比代替沪深300/中证2000
# 成长波动率相对更大 =&gt; 资金博弈活跃 =&gt; 偏成长行情
growth_ret = growth_close.pct_change()
value_ret  = value_close.pct_change()
window = 60  # 研报未明确，取60日作为默认值
vol_growth = growth_ret.rolling(window).std()
vol_value  = value_ret.rolling(window).std()
raw = vol_growth / vol_value
# 比值上升：成长波动率相对更大，暗示市场情绪偏成长
factor = calc_rolling_zscore(raw, window=504)</t>
  </si>
  <si>
    <t>V132</t>
  </si>
  <si>
    <t>中证100相对中证500的M日涨幅差</t>
  </si>
  <si>
    <t># M默认取10（两周约10个交易日）
M = 10
close_100 = index_eod[index_eod['Indexcd']=='000903']['Idxtrd05']
close_500 = index_eod[index_eod['Indexcd']=='000905']['Idxtrd05']
ret_100 = close_100.pct_change(M)
ret_500 = close_500.pct_change(M)
raw = ret_100 - ret_500
# 中证100大盘偏价值，500中盘偏成长；100跑赢(raw&gt;0)偏价值，故乘-1翻转
factor = calc_rolling_zscore(raw, window=504) * (-1)</t>
  </si>
  <si>
    <t>V188</t>
  </si>
  <si>
    <t>行业走势分化度月度变化率</t>
  </si>
  <si>
    <t># 分化度 = 全市场股票当月涨跌幅的标准差（行业内/跨行业均可，此处用个股日频收益率按月聚合）
# 使用Astockdaily中个股日频收益率，按月计算截面收益率标准差
ret_monthly = Astockdaily.groupby(['TradingDate_month', 'Symbol'])['Ret'].sum()
diverg = ret_monthly.groupby('TradingDate_month').std()
diverg_mom = diverg.pct_change(periods=1)  # 月度变化率
# 研报信号方向未明确：分化度上升通常对应成长行情，暂定正值=成长
raw = diverg_mom
factor = calc_rolling_zscore(raw, window=24)  # 月频，约2年</t>
  </si>
  <si>
    <t>V194</t>
  </si>
  <si>
    <t>V207</t>
  </si>
  <si>
    <t>成交额相对波动</t>
  </si>
  <si>
    <t># 用国证成长(399370)/国证价值(399371)成交额波动率之比代替沪深300/中证2000
growth_amount = growth_index['amount']
value_amount  = value_index['amount']
window = 60  # 研报未明确，取60日作为默认值
vol_amt_growth = growth_amount.rolling(window).std()
vol_amt_value  = value_amount.rolling(window).std()
raw = vol_amt_growth / vol_amt_value
# 成长成交额波动率相对更高 =&gt; 资金流动偏向成长 =&gt; signal&gt;0
factor = calc_rolling_zscore(raw, window=504)</t>
  </si>
  <si>
    <t>V133</t>
  </si>
  <si>
    <t>中证全指成交额水平</t>
  </si>
  <si>
    <t>raw = sub_1.rolling(63).mean() - sub_1.rolling(504).mean()
factor = calc_rolling_zscore(raw, window=504)</t>
  </si>
  <si>
    <t>V137</t>
  </si>
  <si>
    <t>标准化市净率变动</t>
  </si>
  <si>
    <t># 研报：标准化PB下降较多的板块预示未来收益增长较好
# spb_change &lt; 0（PB回落）=&gt; 未来收益好 =&gt; 偏成长；故取负值
spb = calc_rolling_zscore(sub_PB, window=window_z, min_periods=window_z)
spb_change = spb - spb.shift(1)
factor = spb_change * (-1)</t>
  </si>
  <si>
    <t>V181</t>
  </si>
  <si>
    <t>大金融相对估值</t>
  </si>
  <si>
    <t># 大金融PE相对全A PE偏低 =&gt; 金融板块低估 =&gt; 偏价值占优 =&gt; factor为负
# 大金融PE/全A PE ratio越高 =&gt; 金融估值贵 =&gt; 偏成长占优
raw = sub_1 / sub_2
factor = calc_rolling_zscore(raw, window=504)</t>
  </si>
  <si>
    <t>V182</t>
  </si>
  <si>
    <t>index_pe</t>
  </si>
  <si>
    <t>maximum(0, 0.1 - rolling_quantile(sub_1/sub_2,window=60×Config.MONTH_DAYS)) - maximum(0, rolling_quantile(sub_1/sub_2,window=60×Config.MONTH_DAYS) - 0.9)</t>
  </si>
  <si>
    <t>V003</t>
  </si>
  <si>
    <t>index_pb</t>
  </si>
  <si>
    <t>V005</t>
  </si>
  <si>
    <t>PB市净率：风格中位数值之商</t>
  </si>
  <si>
    <t>V012</t>
  </si>
  <si>
    <t>PB_QRD</t>
  </si>
  <si>
    <t>V017</t>
  </si>
  <si>
    <t>PB_MAD</t>
  </si>
  <si>
    <t>V018</t>
  </si>
  <si>
    <t>上证行业市盈率（月末值）</t>
  </si>
  <si>
    <t># 取月末值（resample到月末）
sub_pe = sub_1.resample('ME').last()
# 原始值作为因子，方向由SVM/模型自动学习
factor = sub_pe</t>
  </si>
  <si>
    <t>V140</t>
  </si>
  <si>
    <t>估值强度指标</t>
  </si>
  <si>
    <t># 月末PE / 历史滚动均值，取对数差分以保留偏离程度
# 窗口未明确，以36个月（约756日）为默认历史均值窗口
sub_pe_monthly = sub_pe.resample('ME').last()
pe_mean = sub_pe_monthly.rolling(window=36).mean()
raw = sub_pe_monthly / pe_mean - 1.0  # 偏离历史均值的比例
factor = calc_rolling_zscore(raw, window=36)</t>
  </si>
  <si>
    <t>V141</t>
  </si>
  <si>
    <t>成长/价值相对估值历史分位数</t>
  </si>
  <si>
    <t># 成长/价值PE比值的滚动3年历史分位数
pe_growth = sub_1  # 成长指数市盈率TTM
pe_value = sub_2   # 价值指数市盈率TTM
pe_ratio = pe_growth / pe_value
# 滚动756日（≈3年）分位数
quantile_rank = pe_ratio.rolling(756).rank(pct=True)
# 分位数&gt;0.8 =&gt; 成长过贵 =&gt; value；分位数&lt;0.2 =&gt; 成长偏低 =&gt; growth
# 连续化：偏离中位的幅度，并翻转（高分位=value=负值）
raw = -(quantile_rank - 0.5)  # 翻转：分位数高=&gt;负，分位数低=&gt;正
# 稀疏输出：仅在触发阈值时保留信号，中间区域置0
factor = pd.Series(0.0, index=quantile_rank.index)
cond_value = (quantile_rank &gt; 0.8)
cond_growth = (quantile_rank &lt; 0.2)
factor[cond_value] = raw[cond_value]
factor[cond_growth] = raw[cond_growth]</t>
  </si>
  <si>
    <t>V142</t>
  </si>
  <si>
    <t>估值调节因子</t>
  </si>
  <si>
    <t># sub_1: 10年期国债收益率；sub_2: 行业PB_LF
rate_chg = sub_1.diff()
pb_z = calc_rolling_zscore(sub_2, window=504)
# 利率上行 =&gt; 偏价值（低PB好）=&gt; 因子取反；利率下行 =&gt; 偏成长（高PB好）=&gt; 因子正向
direction = rate_chg.apply(lambda x: -1 if x &gt; 0 else (1 if x &lt; 0 else 0))
factor = direction * pb_z</t>
  </si>
  <si>
    <t>V143</t>
  </si>
  <si>
    <t>市净率</t>
  </si>
  <si>
    <t># sub_1: 成长指数市净率LF
# 原始IC为负（PB越高越偏价值），权重-50% =&gt; 整体翻转为: -PB对应成长
# 即PB越低越成长（低PB = 价值陷阱 vs 高PB = 成长溢价），研报IC为负说明PB高对应价值风格
# 按规范 &gt;0 =&gt; growth，需乘-1翻转
raw = sub_1
factor = calc_rolling_zscore(raw, window=504) * (-1)</t>
  </si>
  <si>
    <t>V145</t>
  </si>
  <si>
    <t>沪深300市盈率</t>
  </si>
  <si>
    <t># sub_1: 沪深300市盈率TTM
# PE越高说明市场情绪偏成长 =&gt; 正向
factor = calc_rolling_zscore(sub_1, window=504)</t>
  </si>
  <si>
    <t>V147</t>
  </si>
  <si>
    <t>P/E差(TTM)</t>
  </si>
  <si>
    <t># sub_1: 成长指数市盈率TTM；sub_2: 价值指数市盈率TTM
# PE差 &gt; 0 =&gt; 成长估值溢价更高 =&gt; 偏成长
raw = sub_1 - sub_2
factor = calc_rolling_zscore(raw, window=504)</t>
  </si>
  <si>
    <t>V148</t>
  </si>
  <si>
    <t>P/B差(最新报告期)</t>
  </si>
  <si>
    <t># sub_1: 成长指数市净率LF；sub_2: 价值指数市净率LF
# PB差 &gt; 0 =&gt; 成长估值溢价更高 =&gt; 偏成长
raw = sub_1 - sub_2
factor = calc_rolling_zscore(raw, window=504)</t>
  </si>
  <si>
    <t>V149</t>
  </si>
  <si>
    <t>估值差PE（价值股-成长股）</t>
  </si>
  <si>
    <t># sub_1: 价值指数市盈率TTM；sub_2: 成长指数市盈率TTM
# 原始：价值PE - 成长PE &gt; 0 =&gt; 价值相对便宜 =&gt; 研报signal_rule为 &gt;0 =&gt; growth
# 价值PE高于成长PE意味着价值股相对贵、成长股相对便宜，市场偏好成长 =&gt; &gt;0 = growth，方向与规范一致
raw = sub_1 - sub_2
factor = calc_rolling_zscore(raw, window=window_z)</t>
  </si>
  <si>
    <t>V150</t>
  </si>
  <si>
    <t>估值差PB（价值股-成长股）</t>
  </si>
  <si>
    <t>pb_value = sub_1  # 价值指数市净率LF
pb_growth = sub_2  # 成长指数市净率LF
raw = pb_value - pb_growth
factor = calc_rolling_zscore(raw, window=504)</t>
  </si>
  <si>
    <t>V151</t>
  </si>
  <si>
    <t>行业PE变异系数</t>
  </si>
  <si>
    <t># 按申万一级行业分组，计算截面PE变异系数
# pe_panel: 宽表，行=TRADE_DT，列=个股代码，值=PE
# 需先映射个股到申万行业
industry_pe = pe_panel.groupby(industry_map, axis=1)  # 按行业分组
industry_pe_mean = industry_pe.mean(axis=1)  # 各行业PE截面均值
cv_series = (industry_pe.std(axis=1) / industry_pe.mean(axis=1))  # 各行业变异系数
raw = cv_series.mean(axis=1)  # 全市场行业PE变异系数（各行业CV均值）
factor = calc_rolling_zscore(raw, window=504)</t>
  </si>
  <si>
    <t>V152</t>
  </si>
  <si>
    <t>低PB动量</t>
  </si>
  <si>
    <t># 低PB组合：截面PB后30%个股等权组合
pb_rank = pb_panel.rank(axis=1, pct=True)
low_pb_mask = pb_rank &lt;= 0.3
stock_ret = price_panel.pct_change()
low_pb_ret = stock_ret[low_pb_mask].mean(axis=1)  # 低PB日收益率
# 过去20个交易日（约1个月）累积收益
raw = calc_rolling_return(low_pb_ret, window=20, return_type=Config.RETURN_TYPE)
# 原始系数-0.13，低PB动量&gt;0时对应value占优，方向与规范相反，乘以-1
factor = calc_rolling_zscore(raw, window=504) * (-1)</t>
  </si>
  <si>
    <t>V155</t>
  </si>
  <si>
    <t>高PB动量</t>
  </si>
  <si>
    <t># 高PB组合：截面PB前30%个股等权组合
pb_rank = pb_panel.rank(axis=1, pct=True)
high_pb_mask = pb_rank &gt;= 0.7
stock_ret = price_panel.pct_change()
high_pb_ret = stock_ret[high_pb_mask].mean(axis=1)  # 高PB日收益率
# 过去20个交易日（约1个月）累积收益
raw = calc_rolling_return(high_pb_ret, window=20, return_type=Config.RETURN_TYPE)
# 原始系数+0.07，高PB动量&gt;0时对应growth占优，方向与规范一致，无需翻转
factor = calc_rolling_zscore(raw, window=504)</t>
  </si>
  <si>
    <t>V156</t>
  </si>
  <si>
    <t>PE差（低PB-高PB）</t>
  </si>
  <si>
    <t># 构建高低PB分组（同V154），分别计算组合的PE均值
# pb_panel、pe_panel：个股宽表
pb_rank = pb_panel.rank(axis=1, pct=True)
low_pb_mask  = pb_rank &lt;= 0.3
high_pb_mask = pb_rank &gt;= 0.7
low_pb_pe  = pe_panel[low_pb_mask].mean(axis=1)   # 低PB组合等权PE
high_pb_pe = pe_panel[high_pb_mask].mean(axis=1)  # 高PB组合等权PE
raw = low_pb_pe - high_pb_pe
# 原始系数-0.02，低PB PE &gt; 高PB PE时（差值&gt;0）对应value占优，方向相反，乘以-1
factor = calc_rolling_zscore(raw, window=504) * (-1)</t>
  </si>
  <si>
    <t>V157</t>
  </si>
  <si>
    <t>小价值市盈率之差</t>
  </si>
  <si>
    <t>pe_growth = sub_1  # 成长指数市盈率TTM
pe_value  = sub_2  # 价值指数市盈率TTM
raw = pe_growth - pe_value  # 成长PE - 价值PE
# 研报阈值27.05：差值 &gt; 27.05 =&gt; value; &lt; 27.05 =&gt; growth
# 即原始信号方向为 &lt; 阈值 =&gt; growth，等价于 -(raw - 27.05) &gt;0 =&gt; growth
# 转为偏离阈值的连续值并翻转
raw_centered = raw - 27.05  # 偏离历史均值
factor = calc_rolling_zscore(raw_centered, window=504) * (-1)</t>
  </si>
  <si>
    <t>V158</t>
  </si>
  <si>
    <t>市场整体市盈率（滞后1期）</t>
  </si>
  <si>
    <t># 全A市盈率TTM滞后1期，做rolling zscore后正值利好成长
pe_allA = allA_pe['市盈率TTM']
raw = pe_allA.shift(1)
factor = calc_rolling_zscore(raw, window=504)</t>
  </si>
  <si>
    <t>V159</t>
  </si>
  <si>
    <t>成长滚动市盈率-价值滚动市盈率</t>
  </si>
  <si>
    <t># 成长PE（中证1000/国证成长代理）- 大盘价值PE（沪深300）
# 差值越大代表成长估值相对偏高，研报信号方向为差值越大越偏成长
pe_growth = growth_pe['市盈率TTM']
pe_value  = hs300_pe['市盈率TTM']
raw = pe_growth - pe_value
factor = calc_rolling_zscore(raw, window=504)</t>
  </si>
  <si>
    <t>V160</t>
  </si>
  <si>
    <t>成长市净率-价值市净率</t>
  </si>
  <si>
    <t># 成长PB - 大盘价值PB（沪深300代理）
pb_growth = growth_pe['市净率LF']
pb_value  = hs300_pe['市净率LF']
raw = pb_growth - pb_value
factor = calc_rolling_zscore(raw, window=504)</t>
  </si>
  <si>
    <t>V161</t>
  </si>
  <si>
    <t>估值比：沪深300/中证500</t>
  </si>
  <si>
    <t># log(HS300_PE / ZZ500_PE)，原策略：&gt;20日均线=&gt;偏价值，&lt;20日均线=&gt;偏成长
# 即log比值越低（中证500相对便宜）越利好成长，需乘以-1翻转方向
pe_hs300 = hs300_pe['市盈率TTM']
pe_zz500 = zz500_pe['市盈率TTM']
raw = np.log(pe_hs300 / pe_zz500)
ma20 = raw.rolling(20).mean()
bias = raw - ma20          # 乖离率
# 原信号：raw &lt; ma20 =&gt; growth；故需翻转
raw_signal = -(raw - ma20)
factor = calc_rolling_zscore(raw_signal, window=504)</t>
  </si>
  <si>
    <t>V162</t>
  </si>
  <si>
    <t>全A股PE创最近6个月新高</t>
  </si>
  <si>
    <t># 事件型：转为超出触发条件的幅度，未触发时为负值
# 超出过去6个月滚动最大值时为正（利好成长），否则为负（距触发条件的差距）
pe_allA = allA_pe['市盈率TTM']
rolling_max_6m = pe_allA.shift(1).rolling(window=126).max()  # 约6个月交易日
pe_z = calc_rolling_zscore(pe_allA, window=504)
rolling_max_z = calc_rolling_zscore(rolling_max_6m, window=504)
factor = pe_z - rolling_max_z  # &gt;0时当期PE超历史高点，触发成长信号</t>
  </si>
  <si>
    <t>V163</t>
  </si>
  <si>
    <t>VAL_EP_TTM因子比率（成长/价值）</t>
  </si>
  <si>
    <t># EP_TTM = 1 / PE_TTM
# 成长EP_TTM / 价值EP_TTM &gt; 1 代表成长盈利收益率更高（相对低估），利好成长
pe_growth = growth_pe['市盈率TTM']
pe_value  = value_pe['市盈率TTM']
ep_ttm_growth = 1.0 / pe_growth
ep_ttm_value  = 1.0 / pe_value
# 用差值替代比率，正值代表成长EP_TTM更高（相对便宜）
raw = ep_ttm_growth - ep_ttm_value
factor = calc_rolling_zscore(raw, window=504)</t>
  </si>
  <si>
    <t>V165</t>
  </si>
  <si>
    <t>相对PE差值</t>
  </si>
  <si>
    <t># 中证500PE - 沪深300PE
# 研报效果不佳、方向不确定；此处按「成长溢价」方向：差值越大代表小盘/成长估值越高，正值偏成长
pe_zz500 = zz500_pe['市盈率TTM']
pe_hs300 = hs300_pe['市盈率TTM']
raw = pe_zz500 - pe_hs300
factor = calc_rolling_zscore(raw, window=504)</t>
  </si>
  <si>
    <t>V166</t>
  </si>
  <si>
    <t>价值成长 PB 估值比</t>
  </si>
  <si>
    <t># sub_1 = 申万价值PB，sub_2 = 申万成长PB
# 研报：估值比极端高分位 =&gt; 切换成长（价值拥挤）；极端低分位 =&gt; 切换价值（成长拥挤）
# 逻辑：估值比高 =&gt; 价值相对贵 =&gt; 偏向成长 =&gt; factor &gt; 0
raw = sub_1 / sub_2
factor = calc_rolling_zscore(raw, window=504)</t>
  </si>
  <si>
    <t>V167</t>
  </si>
  <si>
    <t>估值价差（小市值组PB中位数/大市值组PB中位数）</t>
  </si>
  <si>
    <t># pb: 宽表，列为股票代码，行为日期；需配合流通市值数据分组
# 研报：价差高 =&gt; 小市值拥挤 =&gt; 偏大市值（价值）；价差低 =&gt; 小市值便宜 =&gt; 偏小市值（成长）
# 方向翻转：价差高 =&gt; value，故乘 -1
pb_cross = pb.loc[date]  # 当日个股PB截面
mkt_cap_cross = mkt_cap.loc[date]  # 流通市值截面
big_thresh = mkt_cap_cross.quantile(0.9)
small_thresh = mkt_cap_cross.quantile(0.1)
big_group_pb_median = pb_cross[mkt_cap_cross &gt;= big_thresh].median()
small_group_pb_median = pb_cross[mkt_cap_cross &lt;= small_thresh].median()
raw = small_group_pb_median / big_group_pb_median  # 每日滚动计算
factor = calc_rolling_zscore(raw, window=504) * (-1)</t>
  </si>
  <si>
    <t>V168</t>
  </si>
  <si>
    <t>价值估值溢价因子</t>
  </si>
  <si>
    <t># sub_HS300_PB = 沪深300 市净率LF，sub_ZQZ_PB = 中证全指 市净率LF
# 研报逻辑：溢价从高位回落 =&gt; value；溢价从低位回升 =&gt; growth
# 方向翻转：溢价从低位回升时应为正值（growth）
# 用输入变量分别 zscore 后组合，避免稀疏输出污染 zscore
premium = sub_HS300_PB - sub_ZQZ_PB
upper = premium.rolling(756).quantile(0.8)
lower = premium.rolling(756).quantile(0.2)
premium_z = calc_rolling_zscore(premium, window=756)
upper_z = calc_rolling_zscore(upper, window=756)
lower_z = calc_rolling_zscore(lower, window=756)
factor = pd.Series(0.0, index=premium.index)
# 溢价从低位回升：premium.shift(1) &lt; lower.shift(1) and premium &gt; premium.shift(1) =&gt; growth(+)
cond_growth = (premium.shift(1) &lt; lower.shift(1)) &amp; (premium &gt; premium.shift(1))
# 溢价从高位回落：premium.shift(1) &gt; upper.shift(1) and premium &lt; premium.shift(1) =&gt; value(-)
cond_value  = (premium.shift(1) &gt; upper.shift(1)) &amp; (premium &lt; premium.shift(1))
factor[cond_growth] = (lower_z - premium_z)[cond_growth].abs()
factor[cond_value]  = -((premium_z - upper_z)[cond_value].abs())</t>
  </si>
  <si>
    <t>V169</t>
  </si>
  <si>
    <t>成长估值溢价因子</t>
  </si>
  <si>
    <t># sub_ZZ2000_PB = 中证2000 市净率LF，sub_ZQZ_PB = 中证全指 市净率LF
# 研报逻辑：溢价从高位回落 =&gt; value；溢价从低位回升 =&gt; growth
premium = sub_ZZ2000_PB - sub_ZQZ_PB
upper = premium.rolling(756).quantile(0.8)
lower = premium.rolling(756).quantile(0.2)
premium_z = calc_rolling_zscore(premium, window=756)
upper_z = calc_rolling_zscore(upper, window=756)
lower_z = calc_rolling_zscore(lower, window=756)
factor = pd.Series(0.0, index=premium.index)
cond_growth = (premium.shift(1) &lt; lower.shift(1)) &amp; (premium &gt; premium.shift(1))
cond_value  = (premium.shift(1) &gt; upper.shift(1)) &amp; (premium &lt; premium.shift(1))
factor[cond_growth] = (lower_z - premium_z)[cond_growth].abs()
factor[cond_value]  = -((premium_z - upper_z)[cond_value].abs())</t>
  </si>
  <si>
    <t>V170</t>
  </si>
  <si>
    <t>价值成长PB相对拥挤度</t>
  </si>
  <si>
    <t># sub_value_pb = 价值指数 市净率LF，sub_growth_pb = 成长指数 市净率LF
# 季变化率 = 当前值 / 63个交易日前值 - 1（≈一个季度）
# 差分 = 当期季变化率 - 上期季变化率
# 研报规则：&gt;0 =&gt; growth，方向已与规范一致
value_qr  = sub_value_pb  / sub_value_pb.shift(63)  - 1
growth_qr = sub_growth_pb / sub_growth_pb.shift(63) - 1
value_diff  = value_qr  - value_qr.shift(1)
growth_diff = growth_qr - growth_qr.shift(1)
# 价值拥挤度上升快于成长 =&gt; value；反之 =&gt; growth
# 相对拥挤度 = growth_diff - value_diff（正 =&gt; 成长更拥挤 =&gt; 偏 growth）
# 原始方向需确认；研报 &gt;0 =&gt; growth，取 growth_diff - value_diff
raw = growth_diff - value_diff
factor = calc_rolling_zscore(raw, window=504) * (-1)</t>
  </si>
  <si>
    <t>V171</t>
  </si>
  <si>
    <t>相对市净率动量择时信号</t>
  </si>
  <si>
    <t># sub_1 = 成长指数整体法市净率LF - 价值指数整体法市净率LF（相对市净率）
growth_pb = sub_growth_pb  # 成长指数 市净率LF
value_pb  = sub_value_pb   # 价值指数 市净率LF
sub_1 = growth_pb - value_pb
ma5   = sub_1.rolling(5).mean()
ma240 = sub_1.rolling(240).mean()
# 差值保留连续强度
raw = ma5 - ma240
factor = calc_rolling_zscore(raw, window=504)</t>
  </si>
  <si>
    <t>V172</t>
  </si>
  <si>
    <t>全指PB_LF</t>
  </si>
  <si>
    <t># sub_1 = 中证全指 市净率LF
# 研报未给出具体窗口，参考同系列论文常用参数设 short=20, long=120
# 差值保留连续强度
short, long = 20, 120
ma_short = sub_1.rolling(window=short).mean()
ma_long  = sub_1.rolling(window=long).mean()
raw = ma_short - ma_long
factor = calc_rolling_zscore(raw, window=504)</t>
  </si>
  <si>
    <t>V173</t>
  </si>
  <si>
    <t>(成长-价值)PE_TTM 同比</t>
  </si>
  <si>
    <t># sub_growth_pe = 成长指数 市盈率TTM，sub_value_pe = 价值指数 市盈率TTM
# 日频数据，同比用 shift(252)（约一年交易日）
# 研报未给出具体窗口，参考同系列参数设 short=20, long=120
short, long = 20, 120
sub_diff = sub_growth_pe - sub_value_pe
sub_yoy  = sub_diff / sub_diff.shift(252) - 1
ma_short = sub_yoy.rolling(window=short).mean()
ma_long  = sub_yoy.rolling(window=long).mean()
raw = ma_short - ma_long
factor = calc_rolling_zscore(raw, window=504)</t>
  </si>
  <si>
    <t>V174</t>
  </si>
  <si>
    <t>(成长-价值)PS_TTM</t>
  </si>
  <si>
    <t>sub_g = ps_growth
sub_v = ps_value
sub_1 = sub_g - sub_v
diff = sub_1.rolling(window=short).mean() - sub_1.rolling(window=long).mean()
factor = calc_rolling_zscore(diff, window=504)</t>
  </si>
  <si>
    <t>V175</t>
  </si>
  <si>
    <t>成长价值估值差分位数</t>
  </si>
  <si>
    <t># BP = 1/PB，来自指数估值文件（申万大盘代理大盘价值，国证价值代理价值）
# 注意：sub_large_bp本地无直接大盘BP，以国证价值PB代替
sub_large_bp = 1.0 / pb_value
sub_growth_bp = 1.0 / pb_growth
sub_1 = sub_large_bp - sub_growth_bp
quantile_rank = sub_1.expanding(min_periods=60).rank(pct=True)
factor = quantile_rank - 0.5</t>
  </si>
  <si>
    <t>V176</t>
  </si>
  <si>
    <t>bp_growth = 1.0 / pb_growth
bp_value  = 1.0 / pb_value
sub_1 = bp_growth - bp_value
quantile_rank = sub_1.expanding(min_periods=60).rank(pct=True)
# 成长BP &lt; 价值BP时rank低，说明成长估值相对高（PB高）
# rank高 =&gt; 成长BP接近价值BP =&gt; 估值差收窄 =&gt; 对成长不利
# 原文无明确方向，按赔率解读：rank低（成长更贵）反而配成长
factor = 0.5 - quantile_rank</t>
  </si>
  <si>
    <t>V177</t>
  </si>
  <si>
    <t>天风交易拥挤度</t>
  </si>
  <si>
    <t>V013</t>
  </si>
  <si>
    <t>综合拥挤度因子</t>
  </si>
  <si>
    <t># sub_1 = 1个月偏度（基于日内高低价衍生收益率），sub_2 = 1个月峰度，sub_3 = 12个月波动率
# 拥挤度越高 =&gt; 预期未来收益越低（负向因子），乘以-1翻转为正值代表成长
sub1_z = calc_rolling_zscore(sub_1, window=504)
sub2_z = calc_rolling_zscore(sub_2, window=504)
sub3_z = calc_rolling_zscore(sub_3, window=504)
raw = (sub1_z + sub2_z + sub3_z) / 3
factor = raw * (-1)  # 拥挤度高=&gt;value/负向，翻转后&gt;0表示低拥挤=&gt;成长占优</t>
  </si>
  <si>
    <t>V122</t>
  </si>
  <si>
    <t>狭义风格拥挤度季均差分</t>
  </si>
  <si>
    <t># 从收盘价计算滚动21日波动率
hs300_ret = hs300_close.pct_change()
zz1000_ret = zz1000_close.pct_change()
vol_hs300 = hs300_ret.rolling(21).std()
vol_zz1000 = zz1000_ret.rolling(21).std()
ratio = vol_hs300 / vol_zz1000
# 近一季（63日）均值 vs 上一季均值
q_mean_cur  = ratio.rolling(63).mean()
q_mean_prev = ratio.rolling(63).mean().shift(63)
raw = q_mean_cur - q_mean_prev
# signal_rule原文 &lt;0 =&gt; value, &gt;0 =&gt; growth，方向已对齐
factor = calc_rolling_zscore(raw, window=504)</t>
  </si>
  <si>
    <t>V127</t>
  </si>
  <si>
    <t>广义价值拥挤度季末均值变化</t>
  </si>
  <si>
    <t># 广义价值拥挤度 = 偏股基金指数波动率 / 万得全A波动率
bias_ret  = bias_fund_close.pct_change()
winda_ret = winda_close.pct_change()
vol_bias  = bias_ret.rolling(63).std()
vol_winda = winda_ret.rolling(63).std()
crowd = vol_bias / vol_winda
# 取月末值后，近一季(3个月)均值 vs 过去三季(9个月)均值
crowd_eom = crowd.resample('ME').last()
q1_mean = crowd_eom.rolling(3).mean()
q3_mean = crowd_eom.rolling(9).mean()
raw = q1_mean - q3_mean
# 原始方向: &lt;0 =&gt; value, &gt;0 =&gt; growth，已对齐，无需翻转
factor = calc_rolling_zscore(raw, window=36)  # 月频，36个月≈3年</t>
  </si>
  <si>
    <t>V128</t>
  </si>
  <si>
    <t>拥挤度因子</t>
  </si>
  <si>
    <t># 计算成长/价值日收益率
growth_ret = growth_close.pct_change()
value_ret = value_close.pct_change()
# 相对波动率：成长/价值滚动60日标准差之比
rel_vol = growth_ret.rolling(60).std() / value_ret.rolling(60).std()
# 滚动1年分位数上下轨
upper = rel_vol.rolling(252).quantile(0.95)
lower = rel_vol.rolling(252).quantile(0.05)
# 均线
ma5_close = (growth_close / value_close).rolling(5).mean()
ma20_close = (growth_close / value_close).rolling(20).mean()
# 稀疏输出：对输入分别zscore后组合
rel_vol_z = calc_rolling_zscore(rel_vol, window=252)
upper_z = calc_rolling_zscore(upper, window=252)
lower_z = calc_rolling_zscore(lower, window=252)
ma_diff_z = calc_rolling_zscore(ma5_close - ma20_close, window=252)
factor = pd.Series(0.0, index=rel_vol.index)
# 价值拥挤（rel_vol极低且均线金叉）=&gt; 偏成长
cond_value_crowded = (rel_vol &lt; lower) &amp; (ma5_close &gt; ma20_close)
factor[cond_value_crowded] = (lower_z - rel_vol_z)[cond_value_crowded].abs() * ma_diff_z[cond_value_crowded].abs()
# 成长拥挤（rel_vol极高且均线死叉）=&gt; 偏价值
cond_growth_crowded = (rel_vol &gt; upper) &amp; (ma5_close &lt; ma20_close)
factor[cond_growth_crowded] = -((rel_vol_z - upper_z)[cond_growth_crowded].abs() * ma_diff_z[cond_growth_crowded].abs())</t>
  </si>
  <si>
    <t>V136</t>
  </si>
  <si>
    <t>SEMIVLOT_60D_DN因子比率（成长/价值）</t>
  </si>
  <si>
    <t># SEMIVLOT_60D_DN：下行半方差（负收益部分的标准差）
# 成长/价值比率 &gt;1 =&gt; 成长成分股下行风险相对更小（或上行更强） =&gt; 利好成长
ret_wide = S_DQ_ADJCLOSE.pct_change()   # 个股日收益率宽表
def semivol_down(ret_ser, window=60):
    """60日下行半波动率（仅负收益参与计算）"""
    return ret_ser.rolling(window).apply(
        lambda x: x[x &lt; 0].std() if (x &lt; 0).sum() &gt; 1 else np.nan,
        raw=True
    )
semivol_dn = ret_wide.apply(lambda col: semivol_down(col, window=60))
# 成长成分股等权平均
growth_comps = AIndexHS300FreeWeight[
    AIndexHS300FreeWeight['S_INFO_WINDCODE'] == '399370.SZ'
]['S_CON_WINDCODE']
sub_1 = semivol_dn[growth_comps].mean(axis=1)
# 价值成分股等权平均
value_comps = AIndexHS300FreeWeight[
    AIndexHS300FreeWeight['S_INFO_WINDCODE'] == '399371.SZ'
]['S_CON_WINDCODE']
sub_2 = semivol_dn[value_comps].mean(axis=1)
# 比率 &gt;1 =&gt; 成长下行波动 &gt; 价值下行波动 =&gt; 价值更稳定 =&gt; 价值占优
# 故需翻转：比率高 =&gt; value
raw    = sub_1 / sub_2
factor = calc_rolling_zscore(raw - 1, window=504) * (-1)</t>
  </si>
  <si>
    <t>V116</t>
  </si>
  <si>
    <t>30天历史波动率</t>
  </si>
  <si>
    <t>hs300_ret = hs300_close.pct_change()
vol_30 = hs300_ret.rolling(window=30).std()
vol_center = factor.expanding(min_periods=30).median
factor = (vol_30 - vol_center)*(-1)</t>
  </si>
  <si>
    <t>V019</t>
  </si>
  <si>
    <t>波动率差（价值股-成长股）</t>
  </si>
  <si>
    <t>growth_ret = growth_close.pct_change()
value_ret  = value_close.pct_change()
vol_diff = value_ret.rolling(60).std() - growth_ret.rollin(60).std()
factor = calc_rolling_zscore(vol_diff, window=180) * (-1)</t>
  </si>
  <si>
    <t>V020</t>
  </si>
  <si>
    <t>小/价值年化波动率之比的移动平滑值</t>
  </si>
  <si>
    <t>growth_ret = growth_close.pct_change()
value_ret  = value_close.pct_change()
vol_ratio = (growth_ret.rolling(60).std() * np.sqrt(252)) \
            / (value_ret.rolling(60).std() * np.sqrt(252))
factor = (vol_ratio.rolling(20).mean() - 1) * (-1)</t>
  </si>
  <si>
    <t>V021</t>
  </si>
  <si>
    <t>指数波动率差</t>
  </si>
  <si>
    <t>growth_ret = growth_close.pct_change()
value_ret  = value_close.pct_change()
vol_growth = growth_ret.rolling(180).std()
vol_value  = value_ret.rolling(180).std()
factor = (vol_growth - vol_value) * (-1)</t>
  </si>
  <si>
    <t>V022</t>
  </si>
  <si>
    <t>波动率风格多空收益</t>
  </si>
  <si>
    <t>growth_ret = growth_close.pct_change()
value_ret  = value_close.pct_change()
vol_growth = growth_ret.rolling(63).std()
vol_value  = value_ret.rolling(63).std()
factor = (vol_growth-vol_value)*(-1)
long_ret  = np.where(vol_growth &gt; vol_value, growth_ret, value_ret)</t>
  </si>
  <si>
    <t>V025</t>
  </si>
  <si>
    <t>超配比例风格轮动指数（平方法）</t>
  </si>
  <si>
    <t># 以中信行业指数代理四大板块收益，间接测算超配轮动动能
# 板块映射：金融地产=银行+非银行金融+房地产；消费=食品饮料+医药+家电+商贸零售+农林牧渔+纺织服装+消费者服务
# 周期=煤炭+有色金属+钢铁+基础化工+建筑+建材+石油石化；TMT=计算机+通信+传媒+电子+电力设备及新能源
# 季度末各板块涨幅排名
df_q = sector_ret.resample('Q').sum()
yrank = df_q.rank(axis=1)  # 1~4排名
yrank_prev = yrank.shift(1)
# 排名变化平方和（数值越大，轮动越剧烈）
raw_sq = ((yrank - yrank_prev)**2).sum(axis=1)
# 对输入分别zscore再合成，因子本身无方向（描述轮动烈度），此处以原值zscore输出供SVM使用
factor = calc_rolling_zscore(raw_sq, window=20)  # 季度频，约20季
# 注意：本因子描述轮动烈度，无内在成长/价值方向，signal_rule方向由SVM学习</t>
  </si>
  <si>
    <t>V202</t>
  </si>
  <si>
    <t>超配比例风格轮动指数（绝对值法）</t>
  </si>
  <si>
    <t># 与 F001 相同数据，区别在于用绝对值法
df_q = sector_ret.resample('Q').sum()
yrank = df_q.rank(axis=1)
yrank_prev = yrank.shift(1)
raw_abs = (yrank - yrank_prev).abs().sum(axis=1)
factor = calc_rolling_zscore(raw_abs, window=20)</t>
  </si>
  <si>
    <t>V203</t>
  </si>
  <si>
    <t>超配比例风格轮动分板块-金融地产（绝对值法）</t>
  </si>
  <si>
    <t># 仅取金融地产板块（银行+非银行金融+房地产）合并收益
fin_ret = sector_ret[['中信行业指数:银行','中信行业指数:非银行金融','中信行业指数:房地产']].mean(axis=1)
df_q_all = sector_ret_4sectors.resample('Q').sum()  # 4大板块季度收益
yrank_fin = df_q_all.rank(axis=1)['金融地产']
yrank_fin_prev = yrank_fin.shift(1)
raw = (yrank_fin - yrank_fin_prev).abs()
factor = calc_rolling_zscore(raw, window=20)</t>
  </si>
  <si>
    <t>V204</t>
  </si>
  <si>
    <t>超配比例风格轮动分板块-周期（绝对值法）</t>
  </si>
  <si>
    <t># 周期板块：煤炭+有色金属+钢铁+基础化工+建筑+建材+石油石化
cyc_cols = ['中信行业指数:煤炭','中信行业指数:有色金属','中信行业指数:钢铁',
            '中信行业指数:基础化工','中信行业指数:建筑','中信行业指数:建材','中信行业指数:石油石化']
cyc_ret = sector_ret[cyc_cols].mean(axis=1)
df_q_all = sector_ret_4sectors.resample('Q').sum()
yrank_cyc = df_q_all.rank(axis=1)['周期']
yrank_cyc_prev = yrank_cyc.shift(1)
raw = (yrank_cyc - yrank_cyc_prev).abs()
factor = calc_rolling_zscore(raw, window=20)</t>
  </si>
  <si>
    <t>V205</t>
  </si>
  <si>
    <t>超配比例风格轮动分板块-TMT（绝对值法）</t>
  </si>
  <si>
    <t># TMT板块：计算机+通信+传媒+电子+电力设备及新能源
tmt_cols = ['中信行业指数:计算机','中信行业指数:通信','中信行业指数:传媒',
            '中信行业指数:电子','中信行业指数:电力设备及新能源']
tmt_ret = sector_ret[tmt_cols].mean(axis=1)
df_q_all = sector_ret_4sectors.resample('Q').sum()
yrank_tmt = df_q_all.rank(axis=1)['TMT']
yrank_tmt_prev = yrank_tmt.shift(1)
raw = (yrank_tmt - yrank_tmt_prev).abs()
factor = calc_rolling_zscore(raw, window=20)</t>
  </si>
  <si>
    <t>V206</t>
  </si>
  <si>
    <t>CRB现货指数综合对数</t>
  </si>
  <si>
    <t>import numpy as np
from scipy.stats import norm
crb = macro_daily['CRB现货指数:综合'].ffill()
log_crb = np.log(crb)
# expanding empirical CDF -&gt; probit transform
quantile_rank = log_crb.expanding().rank(pct=True)
raw = norm.ppf(quantile_rank.clip(0.001, 0.999))
# 原始方向：物价高涨利好沪深300(价值)，需翻转
factor = calc_rolling_zscore(raw, window=504) * (-1)</t>
  </si>
  <si>
    <t>V082</t>
  </si>
  <si>
    <t>个股分化度MADI（成交量修正分化度）</t>
  </si>
  <si>
    <t># MADI 高 =&gt; 个股分化程度高 =&gt; 对应反转策略（价值）；MADI 低 =&gt; 趋势策略（成长）
# 故原始方向与规范相反，乘以 -1 翻转
# 个股月收益率（Ret）与月成交额（Amount）取自 Astockdaily.parquet
monthly_ret    = Ret.resample('M').sum()            # 月累计收益
monthly_amount = Amount.resample('M').sum()          # 月成交额
# 剔除首尾 10%，计算修正分化度
trimmed_ret = monthly_ret.apply(
    lambda x: x[(x &gt;= x.quantile(0.1)) &amp; (x &lt;= x.quantile(0.9))]
)
trimmed_DI = trimmed_ret.std(axis=1)
# 相对成交量：个股当月成交量 / 过去12月均值
rel_vol = monthly_amount.div(monthly_amount.rolling(12).mean())
# 市值加权平均相对成交量（截面均值）
avg_rel_vol = rel_vol.mean(axis=1)
raw  = trimmed_DI * avg_rel_vol      # MADI
# MADI 高 =&gt; 价值，翻转后 &gt;0 =&gt; growth
factor = calc_rolling_zscore(raw, window=60) * (-1)</t>
  </si>
  <si>
    <t>V112</t>
  </si>
  <si>
    <t>相对扩散指数择时信号</t>
  </si>
  <si>
    <t># 计算全A等权日收益率（市场基准）
mkt_ret = stock_ret.mean(axis=1)  # 等权
# 对成长/价值成分股各自计算扩散指数
def calc_diffusion(comps_ret, mkt_ret, lookback=8):
    # 过去8日累计超额收益符号 → 1表示跑赢，0表示跑输
    cum_excess = (comps_ret - mkt_ret).rolling(lookback).sum()
    # 流通市值加权扩散指数
    weighted_sign = (cum_excess &gt; 0).astype(float)  # 按市值加权在外部实现
    return weighted_sign
# 假设已按流通市值加权，得到标量序列
growth_di = calc_diffusion(growth_stock_ret, mkt_ret, 8)  # 流通市值加权后聚合
value_di  = calc_diffusion(value_stock_ret,  mkt_ret, 8)
rel_di = growth_di / value_di.replace(0, np.nan)  # 相对扩散指数
ma15 = rel_di.rolling(15).mean()
ma60 = rel_di.rolling(60).mean()
# 差值连续保留，正=成长强，负=价值强
raw = ma15 - ma60
factor = calc_rolling_zscore(raw, window=504)</t>
  </si>
  <si>
    <t>V201</t>
  </si>
  <si>
    <t>指数成分股强势占比差</t>
  </si>
  <si>
    <t>growth_strong_ratio = mean(MA5 &gt; MA20 in growth_pool); value_strong_ratio = mean(MA5 &gt; MA20 in value_pool); growth_strong_ratio - value_strong_ratio</t>
  </si>
  <si>
    <t>V001</t>
  </si>
  <si>
    <t>mean(MA5 &gt; MA20 for 399370.SZ components) - mean(MA5 &gt; MA20 for 399371.SZ components)</t>
  </si>
  <si>
    <t>V024</t>
  </si>
  <si>
    <t>个股分化度 DI_t</t>
  </si>
  <si>
    <t># DI_t 本身无直接方向信号，用于构建 VADI（V126）
# 若单独使用：高分化度倾向成长占优（成长股分散度更高时动量更强）
# 月度截面：剔除涨跌幅首尾各10%后计算收益率标准差
monthly_ret = mktP_ret.resample('ME').sum()  # 日频Dretwd求和近似月收益
trimmed = monthly_ret.apply(lambda x: x[(x &gt;= x.quantile(0.1)) &amp; (x &lt;= x.quantile(0.9))])
DI = trimmed.std(axis=1)  # 横截面标准差
raw = DI - DI.rolling(12).mean()  # 相对12个月均值偏离
factor = calc_rolling_zscore(raw, window=120)</t>
  </si>
  <si>
    <t>V125</t>
  </si>
  <si>
    <t>成交量调整分化度 VADI_t</t>
  </si>
  <si>
    <t># VADI_t = DI_t * (M * vol_t / vol_t.rolling(M).mean())
# M 研报未明确，参考常见设定取 M=12（月）
# sub_vol = 全市场当月总成交量（个股成交量加总）
# F001 = DI_t（已计算）
M = 12
vol_ratio = M * sub_vol / sub_vol.rolling(M).mean()
raw = F001 * vol_ratio  # VADI，&gt;0成长（高分化+高放量=&gt;成长动能强）
factor = calc_rolling_zscore(raw, window=120)</t>
  </si>
  <si>
    <t>V126</t>
  </si>
  <si>
    <t>指数分化度</t>
  </si>
  <si>
    <t># 主流宽基指数周收益率截面标准差
# 使用本地可用宽基：000300(沪深300), 000852(中证1000), 000985(中证全指), 399006(创业板指)
indices = ['000300', '000852', '000985', '399006']
price_df = ...  # 各指数收盘价拼接为 DataFrame，列为指数代码，行为日期
weekly_ret = price_df.resample('W').last().pct_change()
divergence = weekly_ret.std(axis=1)  # 截面标准差（每周）
# 分化度本身无方向，研报以分化度突破为风格反转的前置条件。
# 此处用 zscore 偏离中位水平作为强度代理，高分化度 =&gt; 趋势延续（成长相对优势延续），取正
raw = divergence
factor = calc_rolling_zscore(raw, window=104)  # 周频，104周≈2年</t>
  </si>
  <si>
    <t>V129</t>
  </si>
  <si>
    <t>头部拥挤度</t>
  </si>
  <si>
    <t># 头部拥挤度：以国证成长/价值的成交额滚动分位数差值作为连续代理
growth_amount = growth_index_amount  # 国证成长(399370)周成交额
value_amount  = value_index_amount   # 国证价值(399371)周成交额
# 历史分位数（避免稀疏二值化）
N = 52  # 1年滚动窗口（周频）
growth_qrank = growth_amount.rolling(N).rank(pct=True)
value_qrank  = value_amount.rolling(N).rank(pct=True)
# 差值：成长侧分位数高于价值侧 =&gt; 成长拥挤 =&gt; signal&gt;0（成长拥挤时短期反转或延续取决于研报逻辑）
# 研报用于反转判断，拥挤的一侧可能反转，故此处取价值-成长（拥挤成长时为负，代表价值将占优）
# signal_rule unknown，此处保持 growth_qrank - value_qrank（&gt;0表明成长当前更热）
raw = growth_qrank - value_qrank
factor = calc_rolling_zscore(raw, window=104)</t>
  </si>
  <si>
    <t>V130</t>
  </si>
  <si>
    <t>TVR_120D因子比率（成长/价值）</t>
  </si>
  <si>
    <t># 分别计算成长、价值指数成分股 120 日平均换手率
# sub_1 = 成长成分股加权平均 TVR_120D
# sub_2 = 价值成分股加权平均 TVR_120D
raw = sub_1 / sub_2 - 1  # 比率偏离 1 的幅度，&gt;0 表示成长换手率更高
factor = calc_rolling_zscore(raw, window=504)</t>
  </si>
  <si>
    <t>V119</t>
  </si>
  <si>
    <t>TVR_20D_DN因子比率（成长/价值）</t>
  </si>
  <si>
    <t># TVR_20D_DN = 20日上行换手率 / 20日下行换手率（个股级别，再合成指数级别）
# sub_1 = 成长成分股加权平均 TVR_20D_DN
# sub_2 = 价值成分股加权平均 TVR_20D_DN
raw = sub_1 / sub_2 - 1  # 比率偏离 1 的幅度
factor = calc_rolling_zscore(raw, window=504)</t>
  </si>
  <si>
    <t>V120</t>
  </si>
  <si>
    <t>风格关注度拐点期（相对换手率分位数）</t>
  </si>
  <si>
    <t># sub_g = growth_index['turnover_rate'], sub_v = value_index['turnover_rate']
ratio = sub_g / sub_v
ratio_ma90 = ratio.rolling(window=90).mean()
quantile_rank = _rolling_quantile_rank_year(ratio_ma90, year=2)
growth_ret_15d = growth_close.pct_change(15)
value_ret_15d  = value_close.pct_change(15)
growth_momentum_15d = growth_ret_15d - value_ret_15d
# 分别对两个输入变量zscore，统一各自量纲
quantile_dev_low  = calc_rolling_zscore(0.05 - quantile_rank, window=504)  # 分位数越低值越大
quantile_dev_high = calc_rolling_zscore(quantile_rank - 0.95, window=504)  # 分位数越高值越大
momentum_z = calc_rolling_zscore(growth_momentum_15d, window=504)
# 条件满足时以两者之积作为强度，条件不满足保持0（无信号）
factor = pd.Series(0.0, index=quantile_rank.index)
factor[(quantile_rank &lt; 0.05) &amp; (growth_momentum_15d &gt; 0)] = \
    quantile_dev_low[(quantile_rank &lt; 0.05) &amp; (growth_momentum_15d &gt; 0)] * \
    momentum_z[(quantile_rank &lt; 0.05) &amp; (growth_momentum_15d &gt; 0)]
factor[(quantile_rank &gt; 0.95) &amp; (growth_momentum_15d &lt; 0)] = \
    -quantile_dev_high[(quantile_rank &gt; 0.95) &amp; (growth_momentum_15d &lt; 0)] * \
    momentum_z[(quantile_rank &gt; 0.95) &amp; (growth_momentum_15d &lt; 0)].abs()</t>
  </si>
  <si>
    <t>V071</t>
  </si>
  <si>
    <t>60日平均换手率变化</t>
  </si>
  <si>
    <t># sub_1 = Wind全A换手率序列（日频）
# IC为负：换手率加速上升 -&gt; 市场拥挤 -&gt; 偏价值，取负号后 factor&gt;0 对应成长
ma60 = sub_1.rolling(window=60).mean()
raw = (ma60 / ma60.shift(1) - 1) * (-1)
factor = calc_rolling_zscore(raw, window=504)</t>
  </si>
  <si>
    <t>V072</t>
  </si>
  <si>
    <t>上证A股换手率：半年新高事件</t>
  </si>
  <si>
    <t>half_year_max = sub_1.rolling(window=126).max().shift(1)
half_year_min = sub_1.rolling(window=126).min().shift(1)
exceed     = sub_1 / half_year_max - 1   # 超出新高的幅度，&gt;0時觸發
below      = sub_1 / half_year_min - 1   # 跌破新低的幅度，&lt;0時觸發
exceed_z = calc_rolling_zscore(exceed, window=504)
below_z  = calc_rolling_zscore(below,  window=504)
factor = pd.Series(0.0, index=sub_1.index)
factor[sub_1 &gt; half_year_max] =  exceed_z[sub_1 &gt; half_year_max]   # 創新高 =&gt; 成長
factor[sub_1 &lt; half_year_min] =  below_z[sub_1 &lt; half_year_min]    # 創新低 =&gt; 價值（below_z此時為負）</t>
  </si>
  <si>
    <t>V073</t>
  </si>
  <si>
    <t>市场换手率状态</t>
  </si>
  <si>
    <t># sub_1 = 全市场换手率序列（日频，以Wind全A代理）
# 以偏离阈值的幅度作为连续因子值
ma60 = sub_1.rolling(window=60).mean()
raw = ma60 - 1.0
factor = calc_rolling_zscore(raw, window=504)</t>
  </si>
  <si>
    <t>V074</t>
  </si>
  <si>
    <t>相对换手率</t>
  </si>
  <si>
    <t># sub_1 = 中证500换手率, sub_2 = 沪深300换手率（均为日频序列）
ma_500 = sub_1.rolling(window=21).mean()
ma_300 = sub_2.rolling(window=21).mean()
raw = ma_500 - ma_300
factor = calc_rolling_zscore(raw, window=504)</t>
  </si>
  <si>
    <t>V075</t>
  </si>
  <si>
    <t>中证全指20日换手率均值</t>
  </si>
  <si>
    <t># sub_1 = 中证全指换手率（日频）
# 以偏离阈值的幅度作为连续因子值
ma20 = sub_1.rolling(window=20).mean()
raw = ma20 - 1.1
factor = calc_rolling_zscore(raw, window=504)</t>
  </si>
  <si>
    <t>V076</t>
  </si>
  <si>
    <t>股市换手率分位数</t>
  </si>
  <si>
    <t># sub_1 = Wind全A换手率（日频）
# 以偏离中位的幅度作为连续因子值
ma21 = sub_1.rolling(window=21).mean()
quantile_rank = _rolling_quantile_rank_year(ma21, year=2)
# 對偏離幅度分別zscore
dev_high = calc_rolling_zscore(quantile_rank - 0.6, window=504)  # 高於中性區間的幅度
dev_low  = calc_rolling_zscore(0.4 - quantile_rank, window=504)  # 低於中性區間的幅度
# 區間外才輸出信號，區間內保持0
factor = pd.Series(0.0, index=quantile_rank.index)
factor[quantile_rank &gt; 0.6] =  dev_high[quantile_rank &gt; 0.6]   # 成長
factor[quantile_rank &lt; 0.4] =  dev_low[quantile_rank &lt; 0.4]    # 價值（dev_low此時為正，需取負）
factor[quantile_rank &lt; 0.4] *= -1</t>
  </si>
  <si>
    <t>V078</t>
  </si>
  <si>
    <t>规模</t>
  </si>
  <si>
    <t>标准化流通股本</t>
  </si>
  <si>
    <t># 流通股本本地无直接日频序列；用IndexStatement.xlsx中指数层面数据代理
# 研报显示该因子为反向动量因子，标准化流通股本越小倾向成长
# 因子方向：z越小=&gt;成长，故取负值
raw = calc_rolling_zscore(sub_CAP, window=window_z, min_periods=window_z)
factor = raw * (-1)</t>
  </si>
  <si>
    <t>V178</t>
  </si>
  <si>
    <t>W003</t>
  </si>
  <si>
    <t>W003_G</t>
  </si>
  <si>
    <t>W003_G_signal</t>
  </si>
  <si>
    <t>W003_I</t>
  </si>
  <si>
    <t>W003_I_signal</t>
  </si>
  <si>
    <t>W003_P</t>
  </si>
  <si>
    <t>W003_P_signal</t>
  </si>
  <si>
    <t>W003_signal</t>
  </si>
  <si>
    <t>W003_V</t>
  </si>
  <si>
    <t>W003_V_signal</t>
  </si>
  <si>
    <t>W003_W</t>
  </si>
  <si>
    <t>W003_W_signal</t>
  </si>
  <si>
    <t>W004</t>
  </si>
  <si>
    <t>W004_D</t>
  </si>
  <si>
    <t>W004_D_signal</t>
  </si>
  <si>
    <t>W004_F</t>
  </si>
  <si>
    <t>W004_F_signal</t>
  </si>
  <si>
    <t>W004_G</t>
  </si>
  <si>
    <t>W004_G_signal</t>
  </si>
  <si>
    <t>W004_I</t>
  </si>
  <si>
    <t>W004_I_signal</t>
  </si>
  <si>
    <t>W004_L</t>
  </si>
  <si>
    <t>W004_P</t>
  </si>
  <si>
    <t>W004_P_signal</t>
  </si>
  <si>
    <t>W004_signal</t>
  </si>
  <si>
    <t>W004_V</t>
  </si>
  <si>
    <t>W004_V_signal</t>
  </si>
  <si>
    <t>W005_binary</t>
  </si>
  <si>
    <t>W006_binary</t>
  </si>
  <si>
    <t>W007_binary</t>
  </si>
  <si>
    <t>W008_binary</t>
  </si>
  <si>
    <t>factor</t>
  </si>
  <si>
    <t>code</t>
  </si>
  <si>
    <t>signal_type</t>
  </si>
  <si>
    <t>condition</t>
  </si>
  <si>
    <t>bar</t>
  </si>
  <si>
    <t>ret_bar</t>
  </si>
  <si>
    <t>_source_file</t>
  </si>
  <si>
    <t>_source_sheet</t>
  </si>
  <si>
    <t>_generated_output_prefix</t>
  </si>
  <si>
    <t>_generated_at</t>
  </si>
  <si>
    <t>_previous_factor_id</t>
  </si>
  <si>
    <t>source_type</t>
  </si>
  <si>
    <t>calc_method</t>
  </si>
  <si>
    <t>signal_rule</t>
  </si>
  <si>
    <t>data_field</t>
  </si>
  <si>
    <t>notes</t>
  </si>
  <si>
    <t>evidence</t>
  </si>
  <si>
    <t>paper_id</t>
  </si>
  <si>
    <t>_source_parquet</t>
  </si>
  <si>
    <t>_renamed_from_signal_id</t>
  </si>
  <si>
    <t>_renamed_by</t>
  </si>
  <si>
    <t>_renamed_at</t>
  </si>
  <si>
    <t>output_type</t>
  </si>
  <si>
    <t>input_codes</t>
  </si>
  <si>
    <t>input_factors</t>
  </si>
  <si>
    <t>availability</t>
  </si>
  <si>
    <t>_sheet</t>
  </si>
  <si>
    <t>L02</t>
  </si>
  <si>
    <t>event</t>
  </si>
  <si>
    <t>B_factors/reference/factor_done.json</t>
  </si>
  <si>
    <t>Discount</t>
  </si>
  <si>
    <t>W004_factor_generator</t>
  </si>
  <si>
    <t>2026-05-11T06:21:57.853286+00:00</t>
  </si>
  <si>
    <t>L07</t>
  </si>
  <si>
    <t>L23</t>
  </si>
  <si>
    <t>M2同比增速</t>
  </si>
  <si>
    <t>L28</t>
  </si>
  <si>
    <t>L003</t>
  </si>
  <si>
    <t>sub_1/sub_1.shift(1)-1</t>
  </si>
  <si>
    <t>L35_2</t>
  </si>
  <si>
    <t>L004</t>
  </si>
  <si>
    <t>data_diff(sub_2-sub_1)</t>
  </si>
  <si>
    <t>L40</t>
  </si>
  <si>
    <t>L52</t>
  </si>
  <si>
    <t>L73</t>
  </si>
  <si>
    <t>L89</t>
  </si>
  <si>
    <t>L96</t>
  </si>
  <si>
    <t>state</t>
  </si>
  <si>
    <t>ZHAO02</t>
  </si>
  <si>
    <t>ZHAO07</t>
  </si>
  <si>
    <t>ZHAO11</t>
  </si>
  <si>
    <t>ZHAO15</t>
  </si>
  <si>
    <t>ZHAO22</t>
  </si>
  <si>
    <t>V79</t>
  </si>
  <si>
    <t>0.5</t>
  </si>
  <si>
    <t>B_factors/input/record_all.json</t>
  </si>
  <si>
    <t>sheet1_indicators</t>
  </si>
  <si>
    <t>如何从赔率和胜率看成长价值轮动——市场风格轮动系列</t>
  </si>
  <si>
    <t>2026-05-11T02:10:54.346548+00:00</t>
  </si>
  <si>
    <t>bond</t>
  </si>
  <si>
    <t>近3年的排位分位数</t>
  </si>
  <si>
    <t>&lt;0.5 =&gt; growth; &gt;0.5 =&gt; value</t>
  </si>
  <si>
    <t>中债国债到期收益率:10年</t>
  </si>
  <si>
    <t>202302招商证券</t>
  </si>
  <si>
    <t>B_factors/output/如何从赔率和胜率看成长价值轮动——市场风格轮动系列_mounted_normalized_factors.parquet</t>
  </si>
  <si>
    <t>美国:国债收益率:6个月</t>
  </si>
  <si>
    <t>0</t>
  </si>
  <si>
    <t>macro</t>
  </si>
  <si>
    <t>近3个月均值-过去3年均值</t>
  </si>
  <si>
    <t>&lt;0 =&gt; growth; &gt;0 =&gt; value</t>
  </si>
  <si>
    <t>PMI月度数据，需要中国官方制造业PMI</t>
  </si>
  <si>
    <t>近1个月-过去3个月均值</t>
  </si>
  <si>
    <t>&gt;0 =&gt; growth; &lt;0 =&gt; value</t>
  </si>
  <si>
    <t>中国:金融机构各项贷款余额:中长期:人民币</t>
  </si>
  <si>
    <t>需要先将贷款余额转为同比值；原始数据可能需要处理日期偏移以避免未来函数</t>
  </si>
  <si>
    <t>category_summarize.py</t>
  </si>
  <si>
    <t>2026-05-22T08:30:38.132401+00:00</t>
  </si>
  <si>
    <t>近3个月均值-过去12个月均值</t>
  </si>
  <si>
    <t>CPI, PPI</t>
  </si>
  <si>
    <t>强势股占比差</t>
  </si>
  <si>
    <t>equity_price</t>
  </si>
  <si>
    <t>成长风格5日均线大于20日均线的个股占比 -
价值风格5日均线大于20日均线的个股占比</t>
  </si>
  <si>
    <t>S_DQ_CLOSE</t>
  </si>
  <si>
    <t>需要全A个股日收盘价（mktP分片文件）以及风格池定义（基于因子得分前20%），数据源可能需进一步整合</t>
  </si>
  <si>
    <t>style_return</t>
  </si>
  <si>
    <t>过去4周成长收益率-价值收益率</t>
  </si>
  <si>
    <t>close</t>
  </si>
  <si>
    <t>成长/价值价格序列可使用全指成长全收益(H00057.CSI)和全指价值全收益(H00058.CSI)或自建风格指数</t>
  </si>
  <si>
    <t>复合胜率信号</t>
  </si>
  <si>
    <t>W001</t>
  </si>
  <si>
    <t>score_i = 1 if factor_i points to growth else -1 if factor_i points to value else NaN; composite_score = mean(score_i, skipna=True)</t>
  </si>
  <si>
    <t>sheet2_model_outputs</t>
  </si>
  <si>
    <t>每个指标指向成长记+1，指向价值记-1，对可用指标求和或求均值</t>
  </si>
  <si>
    <t>&gt;0 =&gt; growth; &lt;0 =&gt; value; =0 =&gt; 50% growth + 50% value</t>
  </si>
  <si>
    <t>优先使用均值以兼容不同起始时间，亦可使用8项得分加总</t>
  </si>
  <si>
    <t>composite_signal</t>
  </si>
  <si>
    <t>F001, F002, F003, F004, F005, F006, F007, F008</t>
  </si>
  <si>
    <t>十年中债国债到期收益率, 美国6个月国债收益率, PMI, 中长期贷款余额同比, CPI-PPI剪刀差, 动量, 强势股占比差, 北向资金持仓估值变化</t>
  </si>
  <si>
    <t>复合信号映射胜率</t>
  </si>
  <si>
    <t>W002</t>
  </si>
  <si>
    <t>x = composite_score / N_valid; growth_win_rate = 0.5 + np.sign(x) / 2 * (np.exp(np.abs(x)) - 1) / (np.e - 1)</t>
  </si>
  <si>
    <t>将复合胜率信号归一化后，通过指数映射转为成长相对价值占优的胜率</t>
  </si>
  <si>
    <t>&gt;0.5 =&gt; growth win rate higher; &lt;0.5 =&gt; value win rate higher</t>
  </si>
  <si>
    <t>映射函数使信号接近0时胜率贴近50%，极端值时胜率接近0或1</t>
  </si>
  <si>
    <t>win_rate</t>
  </si>
  <si>
    <t>ZHAO01</t>
  </si>
  <si>
    <t>V015</t>
  </si>
  <si>
    <t>zhao</t>
  </si>
  <si>
    <t>B_factors/output/zhao_signal_ls.parquet</t>
  </si>
  <si>
    <t>ZHAO03</t>
  </si>
  <si>
    <t>ZHAO04</t>
  </si>
  <si>
    <t>ZHAO05</t>
  </si>
  <si>
    <t>ZHAO06</t>
  </si>
  <si>
    <t>ZHAO08</t>
  </si>
  <si>
    <t>新增规上工业企业利润总额</t>
  </si>
  <si>
    <t>ZHAO09</t>
  </si>
  <si>
    <t>P015</t>
  </si>
  <si>
    <t>ZHAO10</t>
  </si>
  <si>
    <t>ZHAO12</t>
  </si>
  <si>
    <t>ZHAO13</t>
  </si>
  <si>
    <t>ZHAO14</t>
  </si>
  <si>
    <t>M1同比</t>
  </si>
  <si>
    <t>ZHAO16</t>
  </si>
  <si>
    <t>L026</t>
  </si>
  <si>
    <t>M2同比</t>
  </si>
  <si>
    <t>ZHAO17</t>
  </si>
  <si>
    <t>L027</t>
  </si>
  <si>
    <t>ZHAO18</t>
  </si>
  <si>
    <t>ZHAO20</t>
  </si>
  <si>
    <t>L24_2</t>
  </si>
  <si>
    <t>initial_factors</t>
  </si>
  <si>
    <t>2026-05-11T06:27:37.670530+00:00</t>
  </si>
  <si>
    <t>L25</t>
  </si>
  <si>
    <t>信用利差（5年期AA级中短期票据收益率-5年期国开债收益率）5日均线下穿120日均线（胜率60.47%，超额年化收益7.56%）</t>
  </si>
  <si>
    <t>D008</t>
  </si>
  <si>
    <t>L05_1</t>
  </si>
  <si>
    <t>L05_2</t>
  </si>
  <si>
    <t>L06_1</t>
  </si>
  <si>
    <t>L06_2</t>
  </si>
  <si>
    <t>新增固定资产投资完成额TTM同比增速</t>
  </si>
  <si>
    <t>L03</t>
  </si>
  <si>
    <t>G007</t>
  </si>
  <si>
    <t>L47</t>
  </si>
  <si>
    <t>L47_1</t>
  </si>
  <si>
    <t>PMI (12MA)</t>
  </si>
  <si>
    <t>L49</t>
  </si>
  <si>
    <t>G011</t>
  </si>
  <si>
    <t>llt(sub_1-50,12)</t>
  </si>
  <si>
    <t>L54</t>
  </si>
  <si>
    <t>PMI近三个月均值-过去三个月均值</t>
  </si>
  <si>
    <t>L66</t>
  </si>
  <si>
    <t>G014</t>
  </si>
  <si>
    <t>_rolling_sum_ratio_minus_one(sub_1, 3, 1)</t>
  </si>
  <si>
    <t>L67</t>
  </si>
  <si>
    <t>L71</t>
  </si>
  <si>
    <t>L97</t>
  </si>
  <si>
    <t>L74</t>
  </si>
  <si>
    <t>L75</t>
  </si>
  <si>
    <t>L76</t>
  </si>
  <si>
    <t>L77</t>
  </si>
  <si>
    <t>L91</t>
  </si>
  <si>
    <t>L92</t>
  </si>
  <si>
    <t>L93</t>
  </si>
  <si>
    <t>L94</t>
  </si>
  <si>
    <t>L118</t>
  </si>
  <si>
    <t>L26</t>
  </si>
  <si>
    <t>L27</t>
  </si>
  <si>
    <t>L29</t>
  </si>
  <si>
    <t>L30</t>
  </si>
  <si>
    <t>L31</t>
  </si>
  <si>
    <t>L33</t>
  </si>
  <si>
    <t>L35_1</t>
  </si>
  <si>
    <t>L34</t>
  </si>
  <si>
    <t>L37</t>
  </si>
  <si>
    <t>M2-M1 环比</t>
  </si>
  <si>
    <t>L38</t>
  </si>
  <si>
    <t>L019</t>
  </si>
  <si>
    <t>L39</t>
  </si>
  <si>
    <t>L41</t>
  </si>
  <si>
    <t>L45</t>
  </si>
  <si>
    <t>L46</t>
  </si>
  <si>
    <t>L79_1</t>
  </si>
  <si>
    <t>O003</t>
  </si>
  <si>
    <t>L80</t>
  </si>
  <si>
    <t>L81_2</t>
  </si>
  <si>
    <t>L82</t>
  </si>
  <si>
    <t>O006</t>
  </si>
  <si>
    <t>L85</t>
  </si>
  <si>
    <t>L88</t>
  </si>
  <si>
    <t>L09</t>
  </si>
  <si>
    <t>L11</t>
  </si>
  <si>
    <t>CPI同比增速-PPI同比增速（历史胜率58.33%）（CPI-PPI剪刀差）</t>
  </si>
  <si>
    <t>L12</t>
  </si>
  <si>
    <t>P007</t>
  </si>
  <si>
    <t>average(sub_1-sub_2+sub_1.shift(1)+sub_2.shift(1))-average(sub_1.shift(2)-sub_2.shift(2)+sub_1.shift(3)-sub_2.shift(3)+sub_1.shift(4)-sub_2.shift(4))</t>
  </si>
  <si>
    <t>L13</t>
  </si>
  <si>
    <t>L14</t>
  </si>
  <si>
    <t>L18</t>
  </si>
  <si>
    <t>P010</t>
  </si>
  <si>
    <t>L19</t>
  </si>
  <si>
    <t>P012</t>
  </si>
  <si>
    <t>工业增加值同比短期均线穿长期均线</t>
  </si>
  <si>
    <t>L20</t>
  </si>
  <si>
    <t>P013</t>
  </si>
  <si>
    <t>L22</t>
  </si>
  <si>
    <t>P014</t>
  </si>
  <si>
    <t>V33</t>
  </si>
  <si>
    <t>V97</t>
  </si>
  <si>
    <t>factor_done_backfill</t>
  </si>
  <si>
    <t>2026-05-11T14:24:35+00:00</t>
  </si>
  <si>
    <t>I024</t>
  </si>
  <si>
    <t>L025</t>
  </si>
  <si>
    <t>V016</t>
  </si>
  <si>
    <t>F006_INDEX_CLOSE</t>
  </si>
  <si>
    <t>V214</t>
  </si>
  <si>
    <t>2026-05-14T06:48:06.563794+00:00</t>
  </si>
  <si>
    <t>equity_index_price</t>
  </si>
  <si>
    <t>使用国证成长指数与国证价值指数收盘价，计算近20个交易日普通收益率差。</t>
  </si>
  <si>
    <t>&gt;0 =&gt; growth; &lt;0 =&gt; value; =0 =&gt; neutral</t>
  </si>
  <si>
    <t>S_INFO_WINDCODE in [399370.SZ/399370, 399371.SZ/399371]; TRADE_DT; S_DQ_CLOSE</t>
  </si>
  <si>
    <t>复刻 SY_Reference/成长价值风格轮动-老师参考.py 中 get_mom_signals 的动量_信号逻辑；成长=399370.SZ，价值=399371.SZ。</t>
  </si>
  <si>
    <t>F007_INDEX_COMPONENT_STRONG</t>
  </si>
  <si>
    <t>V215</t>
  </si>
  <si>
    <t>分别计算成长与价值指数成分股中 MA5 &gt; MA20 的股票数量占比，并取成长占比减价值占比。</t>
  </si>
  <si>
    <t>AIndexHS300FreeWeight: S_INFO_WINDCODE, S_CON_WINDCODE, TRADE_DT; S_DQ_ADJCLOSE: TRADE_DT and adjusted close columns by ticker</t>
  </si>
  <si>
    <t>复刻 SY_Reference/成长价值风格轮动-老师参考.py 中 _strong_ratio/get_constituent_mom_signals 逻辑；每日使用不晚于当前日期的最新指数成分股。</t>
  </si>
  <si>
    <t>2026-05-21T06:39:43.208189+00:00</t>
  </si>
  <si>
    <t>last</t>
  </si>
  <si>
    <t>oversea</t>
  </si>
  <si>
    <t>x = W001; growth_win_rate = 0.5 + np.sign(x) / 2 * (np.exp(np.abs(x)) - 1) / (np.e - 1)</t>
  </si>
  <si>
    <t>通过指数映射转为成长相对价值占优的胜率</t>
  </si>
  <si>
    <t>momentum_and_strong_only</t>
  </si>
  <si>
    <t>2026-05-14T06:45:05.506263+00:00</t>
  </si>
  <si>
    <t>V208</t>
  </si>
  <si>
    <t>momentum_and_strong_only_pct_change_19</t>
  </si>
  <si>
    <t>2026-05-14T07:40:16.733617+00:00</t>
  </si>
  <si>
    <t>B_factors/reference/working_multiple_factors_plan.json</t>
  </si>
  <si>
    <t>sheet1</t>
  </si>
  <si>
    <t>flow_factors</t>
  </si>
  <si>
    <t>2026-05-17T10:26:39.895755+00:00</t>
  </si>
  <si>
    <t>flow</t>
  </si>
  <si>
    <t>散户新开账户数，标准化</t>
  </si>
  <si>
    <t>沪市:股票:个人:新增账户数:当月值</t>
  </si>
  <si>
    <t>使用个人新增账户数代理，频率月频</t>
  </si>
  <si>
    <t>20090601-联合证券-策略研究：格转换的终极研究--风格轮动指数</t>
  </si>
  <si>
    <t>当A股新增开户数合计创半年新高时触发事件</t>
  </si>
  <si>
    <t>沪市:新增账户数:当月值</t>
  </si>
  <si>
    <t>近似使用沪市新增账户数；方向为成长</t>
  </si>
  <si>
    <t>20130225-广发证券-风格轮动系列专题之二：宏观事件驱动下的风格轮动</t>
  </si>
  <si>
    <t>A股账户新增开户数</t>
  </si>
  <si>
    <t>C003</t>
  </si>
  <si>
    <t>当A股新增开户数合计创半年新低时触发事件</t>
  </si>
  <si>
    <t>方向为价值</t>
  </si>
  <si>
    <t>月度新增开户数（当月值）</t>
  </si>
  <si>
    <t>沪市:A股:新增账户数:当月值</t>
  </si>
  <si>
    <t>研报未给出量化信号阈值，仅指出开户数大幅回落时容易发生风格切换。</t>
  </si>
  <si>
    <t>20220819-信达证券-策略深度：成长价值风格轮动的核心决定因素</t>
  </si>
  <si>
    <t>A股新增开户数月度变化</t>
  </si>
  <si>
    <t>C005</t>
  </si>
  <si>
    <t>当月A股新增开户数减去上月新增开户数</t>
  </si>
  <si>
    <t>散户加速入市偏向成长，但过热后可能切换，暂按常规方向设定</t>
  </si>
  <si>
    <t>20241105-华福证券-多因素驱动市场风格轮动策略探讨</t>
  </si>
  <si>
    <t>机构新开账户数，标准化</t>
  </si>
  <si>
    <t>沪市:股票:机构:新增账户数:当月值</t>
  </si>
  <si>
    <t>使用机构新增账户数代理，频率月频</t>
  </si>
  <si>
    <t>当月偏股基金新成立份额减去上月新成立份额</t>
  </si>
  <si>
    <t>新成立基金份额:混合型基金:偏股混合型基金</t>
  </si>
  <si>
    <t>基金新发资金通过机构流入，偏好价值价值，份额增加利好价值 本脚本因本地 prepared 数据口径可得性，实际使用字段替代：新成立基金份额:偏股混合型基金 -&gt; 新成立基金份额:混合型基金:偏股混合型基金。原 data_field：新成立基金份额:偏股混合型基金。</t>
  </si>
  <si>
    <t>私募基金:备案基金规模:私募证券投资基金:当月新增</t>
  </si>
  <si>
    <t>报告认为私募产品发行加速助推中成长行情，但未给出信号规则。</t>
  </si>
  <si>
    <t>20211028-安信证券-风格轮动的深度思考：中成长的盛筵结束了吗？</t>
  </si>
  <si>
    <t>股票型基金新发份额（月频）减去过去3个月均值</t>
  </si>
  <si>
    <t>新成立基金份额:股票型基金</t>
  </si>
  <si>
    <t>使用新成立基金份额中股票型基金合计；新发增加代表市场风险偏好高，利好成长</t>
  </si>
  <si>
    <t>20220606-申万宏源-短中长三维度升级申万风格轮动模型</t>
  </si>
  <si>
    <t>新成立偏股型基金份额（3个月移动平均）</t>
  </si>
  <si>
    <t>C018</t>
  </si>
  <si>
    <t>新成立偏股型基金份额的3个月移动平均（研报中未明确偏股型的具体口径）</t>
  </si>
  <si>
    <t>研报中未给出明确的信号阈值，仅指出份额大幅回落时容易发生风格切换。具体偏股型基金份额口径需人工确认，可能为偏股混合型或股票型基金。 本脚本因本地 prepared 数据口径可得性，实际使用字段替代：新成立基金份额:偏股混合型基金 -&gt; 新成立基金份额:混合型基金:偏股混合型基金。原 data_field：新成立基金份额:偏股混合型基金。</t>
  </si>
  <si>
    <t>当月权益基金平均发行规模</t>
  </si>
  <si>
    <t>数据源缺失，需从Wind终端获取新发基金数据</t>
  </si>
  <si>
    <t>20231207-华鑫证券-金融工程深度报告：系统化定量投资视角下的策略配置，构建成长价值风格轮动胜负手</t>
  </si>
  <si>
    <t>原始值</t>
  </si>
  <si>
    <t>外资流入意愿代理指标</t>
  </si>
  <si>
    <t>20240523_西南证券_投资策略_审时度势：趋势共振量化成长价值风格轮动策略</t>
  </si>
  <si>
    <t>中美1年期利差季末均值变化</t>
  </si>
  <si>
    <t>C026</t>
  </si>
  <si>
    <t xml:space="preserve"> (sub_1 - sub_2).shift(3).rolling(window=6).mean()) - ((sub_1 - sub_2).rolling(window=3).mean()</t>
  </si>
  <si>
    <t>计算近一季中美利差月末均值，减去过去两季中美利差月末均值，利差=1年期中国国债收益率-1年期美国国债收益率</t>
  </si>
  <si>
    <t>中债国债到期收益率:10年, 美国:国债收益率:10年</t>
  </si>
  <si>
    <t>美国1年期国债收益率本地数据可能缺失，可用6个月或2年期替代。需确认Macro_all或美债文件。 本脚本因本地 prepared 数据口径可得性，实际使用字段替代：中债国债到期收益率:1年 -&gt; 中债国债到期收益率:10年; 美国国债收益率:1年 -&gt; 美国:国债收益率:10年。原 data_field：中债国债到期收益率:1年, 美国国债收益率:1年。</t>
  </si>
  <si>
    <t>20240422_海通证券_投资策略_大类资产与中观配置研究（一）：宏观+量价成长价值双驱轮动策略</t>
  </si>
  <si>
    <t>中国:融资买入额</t>
  </si>
  <si>
    <t>DIY</t>
  </si>
  <si>
    <t>中国:基金管理公司管理资产规模:公募基金</t>
  </si>
  <si>
    <t>上证所:ETF基金:成交金额, 深交所:ETF基金:成交金额</t>
  </si>
  <si>
    <t>AAA级5年期企业债收益率 - 5年期国债收益率</t>
  </si>
  <si>
    <t>中债中短期票据到期收益率(AAA):5年, 中债国债到期收益率:5年</t>
  </si>
  <si>
    <t>信用利差指标，利差低表示企业违约风险低，盈利向好 本脚本因本地 prepared 数据口径可得性，实际使用字段替代：中债企业债到期收益率(AAA):5年 -&gt; 中债中短期票据到期收益率(AAA):5年。原 data_field：中债企业债到期收益率(AAA):5年, 中债国债到期收益率:5年。</t>
  </si>
  <si>
    <t>20130704-海通证券-华夏上证行业ETF风格轮动策略之一：利用债券YTM打造行业风格导航仪</t>
  </si>
  <si>
    <t>AA+级5年期企业债收益率 - 5年期国债收益率</t>
  </si>
  <si>
    <t>中债企业债到期收益率(AA+):5年, 中债国债到期收益率:5年</t>
  </si>
  <si>
    <t>信用利差指标，利差低表示企业违约风险低，盈利向好</t>
  </si>
  <si>
    <t>AA中短期票据到期收益率 - AAA中短期票据到期收益率，期限建议3年或5年</t>
  </si>
  <si>
    <t>中债中短期票据到期收益率(AA):3年, 中债中短期票据到期收益率(AAA):3年</t>
  </si>
  <si>
    <t>报告指出中成长相对估值与信用利差走势基本同步，但未给出明确信号方向和阈值。</t>
  </si>
  <si>
    <t>计算5年期AA+中短期票据到期收益率与5年期国开债到期收益率之差，取滚动5日均值，然后在每月底计算该差值相对过去2年的分位数水平。若分位数&gt;50%，持有价值；否则持有成长。</t>
  </si>
  <si>
    <t>&gt;0 =&gt; growth ;&lt;0 =&gt; value;</t>
  </si>
  <si>
    <t>中债中短期票据到期收益率(AA+):5年, 中债国开债到期收益率:5年</t>
  </si>
  <si>
    <t>sub_1为AA+5年期收益率，sub_2为国开债5年期收益率</t>
  </si>
  <si>
    <t>20230120-兴业证券-基于拐点+趋势的成长价值轮动研究</t>
  </si>
  <si>
    <t>信用利差(AA+中票5Y - 国开债5Y)</t>
  </si>
  <si>
    <t>D013</t>
  </si>
  <si>
    <t>中债中短期票据到期收益率(AA+):5年 - 中债国开债到期收益率:5年</t>
  </si>
  <si>
    <t>策略使用近9个月均线作为阈值</t>
  </si>
  <si>
    <t>信用利差:3月</t>
  </si>
  <si>
    <t>D014</t>
  </si>
  <si>
    <t>中债中短期票据到期收益率(AA):3月 - 中债国开债到期收益率:3月</t>
  </si>
  <si>
    <t>中债中短期票据到期收益率(AA):3月, 中债国开债到期收益率:3月</t>
  </si>
  <si>
    <t>短端信用利差</t>
  </si>
  <si>
    <t>中债中短期票据到期收益率(AA):9月 - 中债国开债到期收益率:9月</t>
  </si>
  <si>
    <t>中债中短期票据到期收益率(AA):9月, 中债国开债到期收益率:9月</t>
  </si>
  <si>
    <t>长端信用利差</t>
  </si>
  <si>
    <t>5年期AA级中短期票据收益率-5年期国开债收益率，使用5日和250日均线判断趋势</t>
  </si>
  <si>
    <t>中债中短期票据到期收益率(AA):5年, 中债国开债到期收益率:5年</t>
  </si>
  <si>
    <t>20241102-国泰君安-风格轮动量化研究系列之一：量化视角多维度构建成长价值风格轮动策略</t>
  </si>
  <si>
    <t>信用利差月度变化</t>
  </si>
  <si>
    <t>D017</t>
  </si>
  <si>
    <t>(sub_1-sub_2).shift(1) - (sub_1-sub_2)</t>
  </si>
  <si>
    <t>国开债到期收益率与AAA中短期票据到期收益率之差，计算月度差分</t>
  </si>
  <si>
    <t>中债国开债到期收益率:3年, 中债中短期票据到期收益率(AAA):3年</t>
  </si>
  <si>
    <t>信用利差上升利好价值风格，研报使用国开债与中短期票据利差</t>
  </si>
  <si>
    <t>信用利差(AA5年-国债5年)</t>
  </si>
  <si>
    <t>D018</t>
  </si>
  <si>
    <t>AA中短期票据收益率(5年) - 国债收益率(5年)</t>
  </si>
  <si>
    <t>中债中短期票据到期收益率(AA):5年, 中债国债到期收益率:5年</t>
  </si>
  <si>
    <t>原始利差无直接风格信号，用于均线择时策略</t>
  </si>
  <si>
    <t>20250124-国联期货-风格择时系列专题报告（一）：利率周期、期限利差周期和信用利差周期风格轮动择时策略</t>
  </si>
  <si>
    <t>当月新增人民币贷款的最新值 &gt; 过去6个月的滚动最大值</t>
  </si>
  <si>
    <t>月新增人民币贷款</t>
  </si>
  <si>
    <t>触发配置流通市值（成长）风格因子。窗口期K1=6个月根据研报训练结果设定。</t>
  </si>
  <si>
    <t>20180305-广发证券-宏观视角下的风格轮动探讨</t>
  </si>
  <si>
    <t>金融机构各项贷款余额同比的最新值 &lt; (过去6个月均值 - 2倍标准差)</t>
  </si>
  <si>
    <t>金融机构:人民币贷款余额:同比</t>
  </si>
  <si>
    <t>触发配置换手率风格因子，看空高换手个股，但方向无法直接映射成长/价值/成长价值。</t>
  </si>
  <si>
    <t>每月底计算最新中长期贷款余额同比增速，与上两月均值比较，高于均值则看多成长，否则看多价值</t>
  </si>
  <si>
    <t>金融机构:中长期贷款余额</t>
  </si>
  <si>
    <t>需将余额转换为同比；研报提及预测同比增速，本地可用公布值同比替代。</t>
  </si>
  <si>
    <t>20220805-兴业证券-风格轮动系列七：多维结构化成长价值轮动模型</t>
  </si>
  <si>
    <t>当月同比</t>
  </si>
  <si>
    <t>月社会融资规模存量:同比</t>
  </si>
  <si>
    <t>月度频率，策略中与近3月均线比较</t>
  </si>
  <si>
    <t>当季前两月社融当月值加权均值（权重2:1）除以去年同季加权均值减1</t>
  </si>
  <si>
    <t>月社会融资规模:当月值</t>
  </si>
  <si>
    <t>当季前两月数据加权，下月中旬公布，有数据时滞。</t>
  </si>
  <si>
    <t>M2-社融剪刀差</t>
  </si>
  <si>
    <t>D025</t>
  </si>
  <si>
    <t>(sub_1 - sub_2)-(sub_1-sub_2).rolling(window=12).mean()</t>
  </si>
  <si>
    <t>M2同比减去社融存量同比。研报提到“M2-社融的剪刀差处于上升高位时，小市值大概率占优”。</t>
  </si>
  <si>
    <t>月M2:同比(%), 社会融资规模:当月值</t>
  </si>
  <si>
    <t>M2同比和社融存量同比数据需从数据源提取。剪刀差上行/下行状态可能需要进一步平滑处理。</t>
  </si>
  <si>
    <t>20240422-国泰君安-权益配置因子研究系列05：从量化视角复盘A股1995年以来的风格轮动和选股因子表现</t>
  </si>
  <si>
    <t>flationNgrowth_factors</t>
  </si>
  <si>
    <t>2026-05-18T02:41:07.245563+00:00</t>
  </si>
  <si>
    <t>原始值，通常为当月公布值</t>
  </si>
  <si>
    <t>先筛选国家/地区为中国，后检索CPI</t>
  </si>
  <si>
    <t>研报未明确采用同比还是环比，也未说明 CPI 变动方向与价值/成长风格的关系，SVM 自动学习。</t>
  </si>
  <si>
    <t>20070919-联合证券-风格投资研究二：风格选时潜在收益与风格轮动量化策略</t>
  </si>
  <si>
    <t>当月CPI同比 - 上月CPI同比</t>
  </si>
  <si>
    <t>实际使用可得数据，若(t-1)时刻最新CPI同比为两个月前，则环比为(t-1)月同比减(t-2)月同比。</t>
  </si>
  <si>
    <t>20091010-海通证券-风格轮动模型之四：上下游组合轮动的关键因子及其轮动效应分析</t>
  </si>
  <si>
    <t>月度同比增速</t>
  </si>
  <si>
    <t>作为SVM输入特征，未单独定义信号阈值</t>
  </si>
  <si>
    <t>20091218-海通证券-风格轮动模型之五：消费非消费轮动的关键因子及其轮动效应分析</t>
  </si>
  <si>
    <t>居民消费品价格指数CPI月度同比增速，使用可得数据（滞后约2个月）</t>
  </si>
  <si>
    <t>单个因子方向未知，由SVM模型综合决定</t>
  </si>
  <si>
    <t>20100104-海通证券-非消费风格轮动模型跟踪报告：1月非消费组合将相对走强</t>
  </si>
  <si>
    <t>CPI同比的月度差分</t>
  </si>
  <si>
    <t>从Macro_all加载中国CPI同比序列，计算环比差分</t>
  </si>
  <si>
    <t>20100104-海通证券-风格轮动模型：成长价值轮动跟踪报告</t>
  </si>
  <si>
    <t>CPI同比当月值减去上月值</t>
  </si>
  <si>
    <t>CPI同比的环比变化，Logit模型输入因子</t>
  </si>
  <si>
    <t>20100202-海通证券-风格轮动模型：上下游组合轮动跟踪及2月预测报告</t>
  </si>
  <si>
    <t>CPI同比环比增速（滞后1期）</t>
  </si>
  <si>
    <t>F013</t>
  </si>
  <si>
    <t>sub_1.diff()</t>
  </si>
  <si>
    <t>CPI同比的月度环比增速，即CPI同比值的一阶差分</t>
  </si>
  <si>
    <t>因子用于logit模型，无单独阈值方向；滞后1期</t>
  </si>
  <si>
    <t>20100406-海通证券-海通风格轮动模型：成长价值轮动跟踪报告</t>
  </si>
  <si>
    <t>CPI同比序列的环比，滞后2期</t>
  </si>
  <si>
    <t>CPI同比先求环比再滞后2个月；风格方向非growth/value，signal_rule标unknown</t>
  </si>
  <si>
    <t>20110915-国泰君安-数量化研究系列之十六：风格投资III：周期非周期风格轮动研究</t>
  </si>
  <si>
    <t>CPI同比的环比（滞后2期）</t>
  </si>
  <si>
    <t>F015</t>
  </si>
  <si>
    <t xml:space="preserve">sub_1.shift(3) - sub_1.shift(2) </t>
  </si>
  <si>
    <t>取CPI当月同比序列，滞后2期后计算一阶差分（即滞后2期值与滞后3期值之差），反映CPI同比的环比变化。</t>
  </si>
  <si>
    <t>系数为负，因子上升有利于价值。滞后2期使用，原始数据来自Wind，本地需从Macro_all获取CPI同比序列。</t>
  </si>
  <si>
    <t>20111129-国泰君安-风格投资IV：A股成长价值风格轮动研究</t>
  </si>
  <si>
    <t>直接使用CPI同比增速数据</t>
  </si>
  <si>
    <t>作为logistic模型输入，单独无方向信号</t>
  </si>
  <si>
    <t>20161202-申万宏源-兼谈FOF构建中的市场风格识别：解密成长价值风格轮动之LOGISTIC模型</t>
  </si>
  <si>
    <t>CPI月度同比值的中期均线减去长期均线</t>
  </si>
  <si>
    <t>中期窗口 window_m 和长期窗口 window_l 未在研报中指定具体数值</t>
  </si>
  <si>
    <t>20250331-长江证券-风格轮动策略（三）：成长、价值轮动的宏观信号</t>
  </si>
  <si>
    <t>先筛选国家/地区为中国，后检索PPI</t>
  </si>
  <si>
    <t>工业品出厂价格指数PPI月度同比增速，使用可得数据（滞后约2个月）</t>
  </si>
  <si>
    <t>因子作为成长价值轮动回归模型的输入变量之一，方向由回归模型决定</t>
  </si>
  <si>
    <t>20101217-国都证券-A股风格轮动规律探寻</t>
  </si>
  <si>
    <t>PPI同比环比</t>
  </si>
  <si>
    <t>F021</t>
  </si>
  <si>
    <t>PPI同比序列的环比，滞后2期</t>
  </si>
  <si>
    <t>PPI同比先求环比再滞后2个月；风格方向非growth/value，signal_rule标unknown</t>
  </si>
  <si>
    <t>取PPI当月同比序列，滞后2期后计算一阶差分（滞后2期值与滞后3期值之差），反映PPI同比的环比变化。</t>
  </si>
  <si>
    <t>系数为负，因子上升有利于价值。滞后2期使用。</t>
  </si>
  <si>
    <t>PPI环比的最新值 &gt; 过去6个月的滚动最大值</t>
  </si>
  <si>
    <t>触发配置ROE风格因子（盈利风格），无法直接映射成长/价值/成长价值。</t>
  </si>
  <si>
    <t>当PPI同比最新值高于过去6个月均值加2倍标准差时触发事件</t>
  </si>
  <si>
    <t>事件触发时流通市值（成长）因子IC显著为正，成长股跑赢价值。PPI数据可能需对齐月底值。</t>
  </si>
  <si>
    <t>20180408-广发证券-多因子Alpha系列报告之（三十五）：宏观视角下的风格轮动探讨</t>
  </si>
  <si>
    <t>判断PPI同比当前处于上升还是下降趋势，下降利好成长，上升利好价值</t>
  </si>
  <si>
    <t>趋势划分方法未明确，可考虑滚动均值比较</t>
  </si>
  <si>
    <t>20180612-华宝证券-金融工程专题报告：价值、成长风格轮动与FOF策略构建</t>
  </si>
  <si>
    <t>PPI月度同比值的短期均线减去中期均线</t>
  </si>
  <si>
    <t>短期 window_s 和中期 window_m 未指定具体数值；信号规则为短期均线下穿中期均线时配置成长</t>
  </si>
  <si>
    <t>将居住CPI同比序列与宽基指数近三年月度收益率（滞后2期）滚动求相关系数，作为因子暴露</t>
  </si>
  <si>
    <t>中国:CPI:居住:当月同比</t>
  </si>
  <si>
    <t>宏观CPI因子，IC为正。</t>
  </si>
  <si>
    <t>20241216-国金证券-跟踪资金流系列专题（二）：海外ETF资金流因子影响下的行业风格轮动策略，当前环境下如何日频跟踪外资“聪明钱”？</t>
  </si>
  <si>
    <t>done</t>
  </si>
  <si>
    <t>原始PMI数值经经验CDF逆正态变换标准化处理；再基于expanding窗口历史分位数（三分位法）生成信号</t>
  </si>
  <si>
    <t>先筛选国家/地区为中国，后检索月官方制造业PMI</t>
  </si>
  <si>
    <t>因子经过经验分布正态化；三分位阈值由expanding历史分位动态确定。宏观景气高时利好沪深300（价值价值）。</t>
  </si>
  <si>
    <t>20180513-兴业证券-CTA策略系列报告之七：量化基本面探索之基于宏观经济因素以及市场自身特点的沪深300和创业板轮动策略</t>
  </si>
  <si>
    <t>先筛选国家/地区为中国，后检索月工业增加值</t>
  </si>
  <si>
    <t>滞后1期的工业增加值同比增速</t>
  </si>
  <si>
    <t>系数-0.02，影响较小。</t>
  </si>
  <si>
    <t>20100104-海通证券-风格轮动模型：高低PB组合轮动跟踪报告</t>
  </si>
  <si>
    <t>先将原始PMI滞后1个月并减50做去中心化，再计算近3个月均值。</t>
  </si>
  <si>
    <t>宏观指标滞后1个月处理，PMI去中心化。模型优选变量。</t>
  </si>
  <si>
    <t>20210930-中银国际-中银量化资产配置深度系列：A股风格轮动框架与量化预测模型</t>
  </si>
  <si>
    <t>PMI 12个月移动平均（去中心化）</t>
  </si>
  <si>
    <t>G030</t>
  </si>
  <si>
    <t>sub_1.sub(50).rolling(12).mean()</t>
  </si>
  <si>
    <t>先将原始PMI滞后1个月并减50做去中心化，再计算近12个月均值。</t>
  </si>
  <si>
    <t>当月PMI除以去年同期PMI减1</t>
  </si>
  <si>
    <t>PMI上行时成长风格占优，下行时价值占优</t>
  </si>
  <si>
    <t>PMI月度同比值的短期均线减去长期均线</t>
  </si>
  <si>
    <t>短期窗口 window_s 和长期窗口 window_l 未在研报中指定具体数值</t>
  </si>
  <si>
    <t>PMI实际值&gt;51且实际值&gt;预期值时，信号指向价值。</t>
  </si>
  <si>
    <t>先筛选国家/地区为中国，后检索月官方制造业PMI，sub_1为今值，sub_2为预测值</t>
  </si>
  <si>
    <t>sub_1为今值，sub_2为预期值。预期数据需外部获取。实际值可从Macro_all获取。</t>
  </si>
  <si>
    <t>20260223_广发证券_投资策略_量化资产配置研究之二十五：基于宏观预期偏差的权益风格轮动策略</t>
  </si>
  <si>
    <t>当非制造业PMI创半年新低时触发事件</t>
  </si>
  <si>
    <t>中国:非制造业PMI:服务业</t>
  </si>
  <si>
    <t>方向为价值，偏好低估值个股</t>
  </si>
  <si>
    <t>PMI生产季均差分</t>
  </si>
  <si>
    <t>G035</t>
  </si>
  <si>
    <t>计算当季PMI生产日度数据的均值，减去上季均值</t>
  </si>
  <si>
    <t>中国:制造业PMI:生产</t>
  </si>
  <si>
    <t>Macro_all中需确认PMI生产指标字段名</t>
  </si>
  <si>
    <t>当季PMI新订单均值减去上季均值</t>
  </si>
  <si>
    <t>中国:制造业PMI:新订单</t>
  </si>
  <si>
    <t>20241108-海通证券-大类资产与中观配置研究（三）：宏观驱动价值成长风格轮动模型</t>
  </si>
  <si>
    <t>计算PMI新订单指标的季均值（三个月滚动均值），再与上季均值差分</t>
  </si>
  <si>
    <t>PMI新订单字段名需在Macro_all中确认，可能为空</t>
  </si>
  <si>
    <t>20241218-海通证券-大类资产与中观配置研究（四）：宏观量价双驱价值成长风格轮动模型</t>
  </si>
  <si>
    <t>PMI新订单月度同比值的短期均线减去长期均线</t>
  </si>
  <si>
    <t>在每月底，比较最新一期房地产投资完成额累计同比数据与上一期数据，若增速上升则看好价值，下降则看好成长。每年2月无数据时等权配置。</t>
  </si>
  <si>
    <t>中国:房地产开发投资完成额:累计同比</t>
  </si>
  <si>
    <t>sub_1为房地产投资累计同比序列。本地缺少该数据。</t>
  </si>
  <si>
    <t>出口当月同比预期值环比下降，而实际值环比上升时，信号指向成长。持有20个交易日。</t>
  </si>
  <si>
    <t>先筛选国家/地区为中国，后检索月出口金额:当月同比，sub_1是今值，sub_2是预测值</t>
  </si>
  <si>
    <t>sub_1_exp为预期值，sub_2_act为实际值。预期数据需外部获取。实际值可从Macro_all获取。</t>
  </si>
  <si>
    <t>将进口额同比序列与宽基指数近三年月度收益率（滞后2期）滚动求相关系数，作为因子暴露</t>
  </si>
  <si>
    <t>先筛选国家/地区为中国，后检索进口金额:当月同比</t>
  </si>
  <si>
    <t>宏观进出口因子，IC为正。</t>
  </si>
  <si>
    <t>出口总额的环比，滞后2期</t>
  </si>
  <si>
    <t>先筛选国家/地区为中国，后检索月出口金额:当月值</t>
  </si>
  <si>
    <t>出口总额无强烈季节性，仅求环比后滞后2个月；风格方向非growth/value</t>
  </si>
  <si>
    <t>当进出口金额当月同比值创半年新高时触发事件</t>
  </si>
  <si>
    <t>方向为成长</t>
  </si>
  <si>
    <t>当工业增加值实际值减去预测值的差值创半年新高时触发事件</t>
  </si>
  <si>
    <t>先筛选国家/地区为中国，后检索月工业增加值，今值为sub_1，实际值为sub_2</t>
  </si>
  <si>
    <t>需要预测值，数据获取困难；方向为成长</t>
  </si>
  <si>
    <t>工业增加值当月同比</t>
  </si>
  <si>
    <t>相关性不明，Logit模型中系数为负，可能因非线性关系。信号方向不确定。</t>
  </si>
  <si>
    <t>工业增加值月度同比增速，使用可得数据（滞后约2个月）</t>
  </si>
  <si>
    <t>当月工业增加值同比 - 上月工业增加值同比</t>
  </si>
  <si>
    <t>使用Macro_all中中国工业增加值同比数据，需确认字段名。</t>
  </si>
  <si>
    <t>20100111-安信证券-四维视角下的成长价值风格轮动</t>
  </si>
  <si>
    <t>G051</t>
  </si>
  <si>
    <t>直接使用公布的工业增加值同比增速数值</t>
  </si>
  <si>
    <t>Logit模型输入因子，单独方向不明确</t>
  </si>
  <si>
    <t>工业增加值同比序列的环比，滞后3期</t>
  </si>
  <si>
    <t>1月数据用去年12月和今年2月均值填补；工业增加值同比求环比后滞后3个月；风格方向非growth/value</t>
  </si>
  <si>
    <t>取工业增加值当月同比序列，滞后3期后计算一阶差分（滞后3期值与滞后4期值之差）；对于1月缺失数据，用前一年12月和当年2月均值补齐后再计算同比环比。</t>
  </si>
  <si>
    <t>系数为负，上升有利于价值。滞后3期使用。1月数据需特殊处理。Macro_all中是否包含工业增加值需确认。</t>
  </si>
  <si>
    <t>工业增加值月度同比值的短期均线减去长期均线</t>
  </si>
  <si>
    <t>短期窗口 window_s 和长期窗口 window_l 未在研报中指定具体数值，需人工确定</t>
  </si>
  <si>
    <t>先筛选国家/地区为中国，后检索发电量</t>
  </si>
  <si>
    <t>数据源可能在Macro_all中，但未确定；作为SVM输入特征，未单独定义信号阈值</t>
  </si>
  <si>
    <t>发电量月度同比增速，使用可得数据（滞后约2个月）</t>
  </si>
  <si>
    <t>单个因子方向未知，由SVM模型综合决定；数据源需人工确认</t>
  </si>
  <si>
    <t>原始水平值</t>
  </si>
  <si>
    <t>中国:消费者信心指数</t>
  </si>
  <si>
    <t>消费者信心指数水平值，使用可得数据（滞后约2个月）</t>
  </si>
  <si>
    <t>直接使用公布的消费者信心指数数值</t>
  </si>
  <si>
    <t>Logit模型输入因子</t>
  </si>
  <si>
    <t>消费者信心指数环比</t>
  </si>
  <si>
    <t>G060</t>
  </si>
  <si>
    <t>消费者信心指数的环比，滞后2期</t>
  </si>
  <si>
    <t>直接使用消费者信心指数求环比后滞后2个月；变量名cci_d，可能为差分；风格方向非growth/value</t>
  </si>
  <si>
    <t>先筛选国家/地区为中国，后检索社会消费品零售总额</t>
  </si>
  <si>
    <t>社会消费品零售总额月度同比增速，使用可得数据（滞后约2个月）</t>
  </si>
  <si>
    <t>社会消费品零售总额同比的环比，滞后2期</t>
  </si>
  <si>
    <t>社零同比求环比后滞后2个月；风格方向非growth/value</t>
  </si>
  <si>
    <t>中国:OECD综合领先指标</t>
  </si>
  <si>
    <t>OECD综合领先指标水平值，使用可得数据（滞后约2个月）</t>
  </si>
  <si>
    <t>将房屋竣工面积同比序列与宽基指数近三年月度收益率（滞后2期）滚动求相关系数，作为因子暴露</t>
  </si>
  <si>
    <t>中国:房屋竣工面积:累计同比</t>
  </si>
  <si>
    <t>宏观固定资产投资因子，IC为正。</t>
  </si>
  <si>
    <t>固定资产投资完成额累计同比的最新值 &gt; (过去6个月均值 + 2倍标准差)</t>
  </si>
  <si>
    <t>中国:固定资产投资完成额:累计同比</t>
  </si>
  <si>
    <t>触发配置流通市值（价值）风格因子。布林带参数K1=6个月，乘数2倍标准差。</t>
  </si>
  <si>
    <t>当GDP当季同比值创半年（过去6个月）新高时触发事件</t>
  </si>
  <si>
    <t>季度GDP:当季同比</t>
  </si>
  <si>
    <t>GDP为季度频率，窗口按6个月计；方向根据纳入因子BP、SP推断为价值倾向，但未明确</t>
  </si>
  <si>
    <t>(PMI产成品库存-50) - (PMI生产-50)</t>
  </si>
  <si>
    <t>中国:制造业PMI:产成品库存, 中国:制造业PMI:生产</t>
  </si>
  <si>
    <t>反映企业去库存难度，数值越高滞销风险越大。原文未直接给出阈值。</t>
  </si>
  <si>
    <t>20230622-国泰君安-从板块配置轮盘到5大行业风格友好度评分指标：行业风格轮动背后的周期线索</t>
  </si>
  <si>
    <t>G070</t>
  </si>
  <si>
    <t>((sub_1-50)-(sub_2-50))-((sub_1-50)-(sub_2-50)).rolling(window=3).mean()</t>
  </si>
  <si>
    <t>(PMI产成品库存 - 50) - (PMI生产 - 50)</t>
  </si>
  <si>
    <t>研报未给出方向，且数据可用性需人工确认。</t>
  </si>
  <si>
    <t>20240103-国泰君安-宏观友好度评分指标数据库简介：关于成长价值风格轮动的研判</t>
  </si>
  <si>
    <t>stockbondp2q</t>
  </si>
  <si>
    <t>2026-05-18T06:29:58.211115+00:00</t>
  </si>
  <si>
    <t>中证全指月涨幅 - 中证国债指数月涨幅</t>
  </si>
  <si>
    <t>index_eod.parquet[交易所指数代码 in {000985,985,985.0}, 收盘指数]; 行情统计2026-05-18(H11006.CSI).xlsx[交易日期, 收盘价]</t>
  </si>
  <si>
    <t>中证国债指数、中证全指有价格数据</t>
  </si>
  <si>
    <t>先计算ERP = (1/市盈率TTM) / 10年期AAA企业债到期收益率，再减去ERP的过去3个月（约63个交易日）均值</t>
  </si>
  <si>
    <t>881001.WI-历史PE-PB-20260518.xlsx[交易日期, 市盈率TTM加权]; rate_daily.parquet[中债中短期票据到期收益率(AAA):10年]</t>
  </si>
  <si>
    <t>ERP高代表股债性价比高，利好成长</t>
  </si>
  <si>
    <t>全部A股股息率 - 10年期国债收益率</t>
  </si>
  <si>
    <t>&lt;0.5 =&gt; value; &gt;0.5 =&gt; growth</t>
  </si>
  <si>
    <t>881001.WI-历史PE-PB-20260518.xlsx[交易日期, 股息率]; rate_daily.parquet[中债国债到期收益率:10年]</t>
  </si>
  <si>
    <t>计划表 data_field 写作市盈率TTM加权，但本脚本按因子名称和 calc_method 修正为股息率 - 10年国债收益率。</t>
  </si>
  <si>
    <t>每月底计算DIV_Y = 万得全A股息率 - 10年国债到期收益率，计算该指标在过去4年的滚动分位数Q；Q&gt;90%看多成长，Q&lt;10%看多价值，否则均衡</t>
  </si>
  <si>
    <t>&gt;0.9 =&gt; growth; &lt;0.1 =&gt; value; otherwise neutral</t>
  </si>
  <si>
    <t>计算股债性价比指标：万得全A指数股息率 - 10年期国债收益率，然后计算该指标相对过去4年的分位数Q。规则：若Q&gt;90%，且过去2个月价值收益为负且成长收益高于价值，则看好价值，否则看好成长；若Q&lt;10%，则看好价值；其余情况等权。</t>
  </si>
  <si>
    <t>&gt;0.9: if past_2m_value_ret &lt; 0 and growth_ret &gt; value_ret then value else growth; &lt;0.1: value; else neutral</t>
  </si>
  <si>
    <t>881001.WI-历史PE-PB-20260518.xlsx[交易日期, 股息率]; rate_daily.parquet[中债国债到期收益率:10年]; growth_index.xlsx[date, close]; value_index.xlsx[date, close]</t>
  </si>
  <si>
    <t>万得全A指数股息率</t>
  </si>
  <si>
    <t>881001.WI-历史PE-PB-20260518.xlsx[交易日期, 股息率]</t>
  </si>
  <si>
    <t>计划表 condition 含 sub_2 但该因子为股票分红率，本脚本按万得全A股息率自身的3年滚动分位数实现。</t>
  </si>
  <si>
    <t>2026-05-18T06:30:20.176903+00:00</t>
  </si>
  <si>
    <t>overseaFactors</t>
  </si>
  <si>
    <t>2026-05-19T15:23:51.858981+00:00</t>
  </si>
  <si>
    <t>VIX前月值/前两月值 - 1</t>
  </si>
  <si>
    <t>日期列见"交易日期"，根据"收盘价"计算过去20个交易日涨跌幅，sub_1取计算得到的20个交易日涨跌幅</t>
  </si>
  <si>
    <t>logit模型自变量，系数为负，单独信号方向未知 计划表 condition 存在语法残缺，本脚本按 factor/calc_method/data_field 的业务含义实现。</t>
  </si>
  <si>
    <t>20130115-长江证券-港股投资风格轮动策略探究</t>
  </si>
  <si>
    <t>取港币兑美元现汇汇率前月值</t>
  </si>
  <si>
    <t>即期汇率定盘价:美元兑港元</t>
  </si>
  <si>
    <t>logit模型自变量，系数为正，单独信号方向未知</t>
  </si>
  <si>
    <t>取美元兑港元远期汇率升贴水前月值。远期升水扩大反映美联储降息预期升温，港美利差收窄预期、全球流动性宽松、利好成长。指标在每月月末更新当月全部日指标，因此只使用每个月最后一天数据</t>
  </si>
  <si>
    <t>掉期点:美元兑港元:1个月</t>
  </si>
  <si>
    <t>logit模型自变量，系数为正，单独信号方向未知 本脚本只取完整月份的月末源数据作为事件日，不使用未完整月份。</t>
  </si>
  <si>
    <t>人民币兑美元汇率月度变化率 = (当月汇率 / 上月汇率 - 1)</t>
  </si>
  <si>
    <t>即期汇率:美元兑离岸人民币(USDCNH)</t>
  </si>
  <si>
    <t>作为logistic模型输入变量，单独不产生交易信号</t>
  </si>
  <si>
    <t>当BDI月值高于过去6个月均值加2倍标准差时触发事件</t>
  </si>
  <si>
    <t>波罗的海干散货指数(BDI)</t>
  </si>
  <si>
    <t>事件触发时总资产及流通市值（价值）因子IC为正。BDI数据源未在public inventory中找到，可能需要Wind或外部数据。</t>
  </si>
  <si>
    <t>拟合值 = 即期利率×（HIBOR_1M-SOFT_1M）/100*30/360*10000</t>
  </si>
  <si>
    <t>即期汇率定盘价:美元兑港元, HIBOR:1个月, 美国:SOFR期限利率:1个月</t>
  </si>
  <si>
    <t>计划表 condition 存在语法残缺，本脚本按 factor/calc_method/data_field 的业务含义实现。</t>
  </si>
  <si>
    <t>NDX跑赢SPX反映全球科技风格占优，A股成长跟随</t>
  </si>
  <si>
    <t>收盘价</t>
  </si>
  <si>
    <t>费城半导体指数（SOX）</t>
  </si>
  <si>
    <t>O018</t>
  </si>
  <si>
    <t>sign(sub_1/sub_1.shift(20)-1)*max(abs(sub_1/sub_1.shift(20)-1)-0.05,0)</t>
  </si>
  <si>
    <t>SOX上涨反映全球半导体景气，利好A股科技成长板块</t>
  </si>
  <si>
    <t>费城半导体指数</t>
  </si>
  <si>
    <t>SOX上涨反映全球半导体景气，利好A股科技成长板块；剔除标普500来剥离美股大盘影响</t>
  </si>
  <si>
    <t>费城半导体指数, 标普500：收盘价</t>
  </si>
  <si>
    <t>SOX上涨反映全球半导体景气，利好A股科技成长板块，对数斜率分位点算法</t>
  </si>
  <si>
    <t>费城半导体指数（SOX），斜率加速度算法</t>
  </si>
  <si>
    <t>O021</t>
  </si>
  <si>
    <t>calc_rolling_rank(calc_rolling_slope(log(sub_1),window=20,min_periods=20)-calc_rolling_slope(log(sub_1),window=120,min_periods=120),window=1250,min_periods=500)*2-1</t>
  </si>
  <si>
    <t>SOX上涨反映全球半导体景气，利好A股科技成长板块，斜率加速度算法</t>
  </si>
  <si>
    <t>SOX上涨反映全球半导体景气，利好A股科技成长板块，偏离长期趋势z-score算法</t>
  </si>
  <si>
    <t>SOX上涨反映全球半导体景气，利好A股科技成长板块，R方加权斜率算法</t>
  </si>
  <si>
    <t>SOX上涨反映全球半导体景气，利好A股科技成长板块，多时间尺度斜率共振算法</t>
  </si>
  <si>
    <t>韩国:出口金额:半导体:当月值</t>
  </si>
  <si>
    <t>2026-05-19T15:25:10.738627+00:00</t>
  </si>
  <si>
    <t>profitFactors</t>
  </si>
  <si>
    <t>2026-05-20T12:15:13.799856+00:00</t>
  </si>
  <si>
    <t>statement</t>
  </si>
  <si>
    <t>使用IndexStatement.xlsx中成长风格指数399370.SZ与价值风格指数399371.SZ，计算营业收入、归属母公司股东的权益、归母净利润三个指标的同比增速差，均为成长同比增速减价值同比增速。</t>
  </si>
  <si>
    <t>至少两个差值&lt;0 =&gt; value; 至少两个差值&gt;0 =&gt; growth</t>
  </si>
  <si>
    <t>Indexcd=399370.SZ/399371.SZ；日期列'Date'；可得日期列'PubDate'；因子列'营业收入'、'归属母公司股东的权益'、'归母净利润'</t>
  </si>
  <si>
    <t>原计划factor_id=P017与既有factor_done.json冲突，本脚本改用P061。事件日使用PubDate。</t>
  </si>
  <si>
    <t>使用AIndexHS300FreeWeight.parquet中000905.SH与000300.SH成分股及I_WEIGHT，分别加权计算Con_np_yoy_roll.feather中的一致预期净利润增速，再取中证500加权均值减沪深300加权均值。</t>
  </si>
  <si>
    <t>Con_np_yoy_roll.feather['TRADE_DT','S_INFO_WINDCODE','Con_np_yoy_roll']; AIndexHS300FreeWeight.parquet['S_INFO_WINDCODE','S_CON_WINDCODE','TRADE_DT','I_WEIGHT']</t>
  </si>
  <si>
    <t>本地已确认AIndexHS300FreeWeight.parquet包含000905.SH与000300.SH成分股权重。</t>
  </si>
  <si>
    <t>20190801-中泰证券-中泰时钟战术资产配置系列之三：成长价值风格轮动</t>
  </si>
  <si>
    <t>直接使用工业企业利润总额累计同比</t>
  </si>
  <si>
    <t>工业企业利润总额累计同比 &gt; 0 =&gt; value; &lt;0 =&gt; growth</t>
  </si>
  <si>
    <t>中国:利润总额:规模以上工业企业:累计同比</t>
  </si>
  <si>
    <t>按当前实现方向取负号，使工业企业利润总额累计同比为正时信号偏价值。</t>
  </si>
  <si>
    <t>20210703-开源证券-大类资产配置研究系列（4）：A股风格轮动，规律认知与策略实践</t>
  </si>
  <si>
    <t>中证500归母净利润TTM同比增速 - 沪深300归母净利润TTM同比增速</t>
  </si>
  <si>
    <t>IndexStatement.xlsx['Indexcd','Date','PubDate','归母净利润']; IS_AexcluST1F.xlsx['Stkcd','Accper','B002000101']; AIndexHS300FreeWeight.parquet['S_INFO_WINDCODE','S_CON_WINDCODE','TRADE_DT','I_WEIGHT']</t>
  </si>
  <si>
    <t>基于图15数据，增速差&gt;0时中证500相对占优。事件日使用PubDate；若IndexStatement.xlsx中沪深300归母净利润序列存在大量0值导致不可用，则使用原始IS_AexcluST1F.xlsx的个股归母净利润B002000101计算TTM同比，并从prepared Ashare_profit.parquet按Stkcd+Accper合并清洗后的PubDate，再按AIndexHS300FreeWeight.parquet成分股I_WEIGHT重建中证500与沪深300加权序列。</t>
  </si>
  <si>
    <t>对成长风格指数（高市盈率）和价值风格指数（低市盈率），分别将其成分股映射至中信一级行业；以风格指数在各行业的配置比例（如市值占比）为权重，计算各行业归母净利润TTM累计增速环比（本期TTM增速 – 上期TTM增速）的加权平均值，得到成长景气度与价值景气度，再取差值：成长景气度 − 价值景气度。</t>
  </si>
  <si>
    <t>Ashare_profit.parquet['Stkcd','Accper','Indcd','PubDate']; IS_AexcluST1F.xlsx['Stkcd','Accper','B002000101']; AIndexHS300FreeWeight.parquet['S_INFO_WINDCODE','S_CON_WINDCODE','TRADE_DT','I_WEIGHT']</t>
  </si>
  <si>
    <t>Ashare_profit.parquet提供股票六位代码Stkcd到行业编号Indcd的映射，并提供清洗后的PubDate；原始IS_AexcluST1F.xlsx提供归母净利润B002000101。先计算股票归母净利润TTM同比的环比变化，按Indcd聚合为行业景气度，再使用399370.SZ成长风格指数与399371.SZ价值风格指数的成分股行业占比加权，得到成长景气度减价值景气度。事件日使用prepared表清洗后的财报PubDate。</t>
  </si>
  <si>
    <t>20220331-华宝证券-量化视点2022年第5期：盈利指标的不同构建方法在行业与风格轮动中的效果如何？</t>
  </si>
  <si>
    <t>计算创业板指ROE同比改善幅度减沪深300 ROE同比改善幅度：sub_1=ROE_创业板指(t)-ROE_创业板指(t-4)，sub_2=ROE_沪深300(t)-ROE_沪深300(t-4)，因子=sub_1-sub_2。</t>
  </si>
  <si>
    <t>IndexStatement.xlsx['Indexcd','Date','PubDate','ROE']; Ashare_profit.parquet['Stkcd','Accper','PubDate','F050102B']; AIndexHS300FreeWeight.parquet['S_INFO_WINDCODE','S_CON_WINDCODE','TRADE_DT','I_WEIGHT']</t>
  </si>
  <si>
    <t>优先检查IndexStatement.xlsx中399006与000300的ROE缺失/无效值占比；若缺失或0值污染较多，则使用Ashare_profit.parquet的F050102B并按AIndexHS300FreeWeight.parquet成分股I_WEIGHT重建创业板指与沪深300加权ROE。事件日使用PubDate。</t>
  </si>
  <si>
    <t>2026-05-20T09:58:06.435558+00:00</t>
  </si>
  <si>
    <t>基于图15数据，增速差&gt;0时中证500相对占优。事件日使用PubDate；若IndexStatement.xlsx中沪深300归母净利润序列存在大量0值导致不可用，则使用IS_AexcluST1F.xlsx的个股归母净利润TTM同比并按AIndexHS300FreeWeight.parquet成分股I_WEIGHT重建中证500与沪深300加权序列。</t>
  </si>
  <si>
    <t>Ashare_profit.parquet提供股票六位代码Stkcd到行业编号Indcd的映射；IS_AexcluST1F.xlsx提供归母净利润B002000101。先计算股票归母净利润TTM同比的环比变化，按Indcd聚合为行业景气度，再使用399370.SZ成长风格指数与399371.SZ价值风格指数的成分股行业占比加权，得到成长景气度减价值景气度。事件日使用财报PubDate。</t>
  </si>
  <si>
    <t>profitFactors2</t>
  </si>
  <si>
    <t>2026-05-20T16:43:10.078729+00:00</t>
  </si>
  <si>
    <t>中证全指成分股整体法计算净利润在TTM口径下的同比增速；中期均线上穿长期均线配置成长。</t>
  </si>
  <si>
    <t>指数代码列'Indexcd',日期列'date',因子列'净利润'</t>
  </si>
  <si>
    <t>同F001，窗口未指定，需Wind数据。</t>
  </si>
  <si>
    <t>20250605-长江证券-风格轮动策略（四）：成长、价值轮动的基本面信号</t>
  </si>
  <si>
    <t>计算一致预期ROE在过去3个月的变化值。行业得分采用改进的市值加权法：截面上个股一致预期ROE改善幅度大于0的计1分，否则0分，然后按市值加权计算行业得分。</t>
  </si>
  <si>
    <t>指数代码列'Indexcd',日期列'date',因子列'一致预测ROE(FY1)'；个股总资产：'A001000000'</t>
  </si>
  <si>
    <t>因子值越大表示分析师对行业景气边际改善的预期越强。方向未知。</t>
  </si>
  <si>
    <t>20211223-方正证券-宏观视角下景气度+趋势的行业轮动策略</t>
  </si>
  <si>
    <t>整体法计算国证成长指数ROE减去国证价值指数ROE，得到ROE差值</t>
  </si>
  <si>
    <t>国证成长指数399370，国证价值指数399371，个股ROE："F050502B"</t>
  </si>
  <si>
    <t>ROE差值扩大或处于正值时价值风格可能占优，但研报未明确阈值和规则；需从个股财务数据计算整体ROE，数据源缺失。</t>
  </si>
  <si>
    <t>20220818-中泰证券-A股风格轮动专题：风格轮动以何为锚？</t>
  </si>
  <si>
    <t>中证全指成分股整体法计算营业收入在TTM口径下的同比增速；然后计算该序列的中期均线与长期均线，当中期均线上穿长期均线时产生成长信号。</t>
  </si>
  <si>
    <t>指数代码列'Indexcd' == 000985,日期列'PubDate',因子列'营业收入'在此基础上需计算同比增速</t>
  </si>
  <si>
    <t>均线窗口13和26未明确，需回测确定。数据源需Wind全市场财务数据，本地无对应数据。</t>
  </si>
  <si>
    <t>中证全指成分股整体法计算ROE(TTM)；中期均线上穿长期均线配置成长。</t>
  </si>
  <si>
    <t>指数代码列'Indexcd' == 000985,日期列'PubDate',因子列'ROE'</t>
  </si>
  <si>
    <t>窗口未指定，需Wind数据。</t>
  </si>
  <si>
    <t>中证全指成分股整体法计算资产负债率；中期均线上穿长期均线配置成长。</t>
  </si>
  <si>
    <t>指数代码列'Indexcd' == 000985,日期列'PubDate',因子列'资产负债率'</t>
  </si>
  <si>
    <t>中证全指成分股整体法计算流动比率；中期均线上穿短期均线配置成长。</t>
  </si>
  <si>
    <t>指数代码列'Indexcd' == 000985,日期列'PubDate',因子列'流动比率'</t>
  </si>
  <si>
    <t>流动比率信号方向为中期上穿短期，注意窗口定义；窗口未指定，需Wind数据。</t>
  </si>
  <si>
    <t>将单季度归母净利润同比增速的环比、投资收益率环比、单季度ROE同比增速、ROE TTM环比增速、单季度ROA同比增速、单季度净利率同比增速这6个指标等权合成。个股财务指标合成风格指数得分时，对于截面上个股指标改善幅度大于0的计1分，否则0分，然后按市值加权计算风格指数得分。</t>
  </si>
  <si>
    <t>【IS指标】单季度归母净利润同比增速的环比："B00200101"是归母净利润原值，在此基础上计算同比增速的环比、单季度净利率同比增速："B002000000"是净利润原值，在此基础上计算同比增速【盈利指标】Ashare_profit.parquet 投资收益率环比："F053202B"是原值，在此基础上计算环比、单季度ROE同比增速："F050501B"是单季度ROA原值，在此基础上计算同比增速、ROE TTM环比增速："F050504C"是ROE TTM原值，在此基础上计算环比增速、单季度ROA同比增速："F050201B"是单季度ROA原值，在此基础上计算同比增速</t>
  </si>
  <si>
    <t>财务指标来源于定期报告，更新频率低，每月末利用最新财报信息。因子值越大表示行业景气度越高。sub_i为各财务因子得分。</t>
  </si>
  <si>
    <t>经营活动净收益 / 利润总额</t>
  </si>
  <si>
    <t>指数代码列'Indexcd',国证成长指数399370，国证价值指数399371，日期列'date',因子列'营业利润’、'利润总额'</t>
  </si>
  <si>
    <t>质量类因子，IC为正，权重33%。需个股财务数据。</t>
  </si>
  <si>
    <t>归母权益 / 带息负债</t>
  </si>
  <si>
    <t>国证成长指数399370，国证价值指数399371;【BS指标】归母权益："A003100000"，带息负债："A002101000"+"A002125000"+"A002201000"+"A002203000"</t>
  </si>
  <si>
    <t>质量类因子，IC为负，权重-33%。</t>
  </si>
  <si>
    <t>营业外收支净额 / 利润总额</t>
  </si>
  <si>
    <t>国证成长指数399370，国证价值指数399371;【IS指标】营业外收支净额："B001400000"-"B001500000"，利润总额："B001000000"</t>
  </si>
  <si>
    <t>一致预期净利润较三个月前变化率</t>
  </si>
  <si>
    <t>国证成长指数399370，国证价值指数399371；一致预期净利润变化率：日期是TRADE_DT，股票代码是S_INFO_WINDCODE，一致预期是Con_np_change_60d</t>
  </si>
  <si>
    <t>预期类因子，IC为正，权重25%。需一致预期EPS数据。</t>
  </si>
  <si>
    <t>一致预期净利润较上月变化率</t>
  </si>
  <si>
    <t>国证成长指数399370，国证价值指数399371；一致预期净利润变化率：日期是TRADE_DT，股票代码是S_INFO_WINDCODE，一致预期是Con_np_change_20d</t>
  </si>
  <si>
    <t>预期类因子，IC为正，权重50%。需分析师一致预期数据。</t>
  </si>
  <si>
    <t>应收账款周转天数的差分（环比变化）</t>
  </si>
  <si>
    <t>指数代码列'Indexcd',国证成长指数399370，国证价值指数399371，日期列'date',因子列'应收账款周转天数'</t>
  </si>
  <si>
    <t>微观质量类因子，IC为负，权重-50%。</t>
  </si>
  <si>
    <t>归母权益/资本比率的差分</t>
  </si>
  <si>
    <t>指数代码列'Indexcd',国证成长指数399370，国证价值指数399371，日期列'date',归母权益'归属母公司股东的权益'，资本比率'资产负债率'</t>
  </si>
  <si>
    <t>分析师盈收预测变化趋势差分</t>
  </si>
  <si>
    <t>P051</t>
  </si>
  <si>
    <t>分析师盈利预测变化趋势的一阶差分</t>
  </si>
  <si>
    <t>微观预期类因子，IC为正，权重50%。需分析师一致预期数据。</t>
  </si>
  <si>
    <t>中证全指成分股整体法计算毛利率(TTM)；中期均线上穿长期均线配置成长。</t>
  </si>
  <si>
    <t>指数代码列'Indexcd',国证成长指数399370，国证价值指数399371，日期列'date',毛利率'销售毛利率'</t>
  </si>
  <si>
    <t>国证成长指数成分股整体法毛利率(TTM) - 国证价值指数成分股整体法毛利率(TTM)；中期均线上穿长期均线配置成长。</t>
  </si>
  <si>
    <t>国证成长指数399370，国证价值指数399371；毛利率："F053301C"</t>
  </si>
  <si>
    <t>需要分别计算两指数成分股的毛利率整体值，数据源需Wind。窗口未指定。</t>
  </si>
  <si>
    <t>国证成长指数存货周转率(TTM) - 国证价值指数存货周转率(TTM)；中期均线下穿短期均线配置成长，即短期均线 &gt; 中期均线时成长。</t>
  </si>
  <si>
    <t>指数代码列'Indexcd',国证成长指数399370，国证价值指数399371，日期列'date',存货周转率'存货周转率'</t>
  </si>
  <si>
    <t>信号方向为短期上穿中期，需注意窗口取值，需Wind数据。</t>
  </si>
  <si>
    <t>应收账款周转率风格差值，中期下穿短期配置成长。</t>
  </si>
  <si>
    <t>指数代码列'Indexcd',国证成长指数399370，国证价值指数399371，日期列'date',应收账款周转率'应收账款周转率'</t>
  </si>
  <si>
    <t>同F008，需Wind数据。</t>
  </si>
  <si>
    <t>总资产周转率风格差值，中期下穿短期配置成长。</t>
  </si>
  <si>
    <t>指数代码列'Indexcd',国证成长指数399370，国证价值指数399371，日期列'date',总资产周转率'总资产周转率'</t>
  </si>
  <si>
    <t>ROE水平差</t>
  </si>
  <si>
    <t>P057</t>
  </si>
  <si>
    <t>(sub_1 - sub_2).rolling(13).mean() - (sub_1 - sub_2).rolling(26).mean() # sub_1 = 国证成长ROE(TTM), sub_2 = 国证价值ROE(TTM)</t>
  </si>
  <si>
    <t>指数代码列'Indexcd',日期列'date',因子列'归母净利润'</t>
  </si>
  <si>
    <t>归母净利润率水平差</t>
  </si>
  <si>
    <t>P059</t>
  </si>
  <si>
    <t>(sub_1 - sub_2).rolling(13).mean() - (sub_1 - sub_2).rolling(26).mean() # sub_1 = 国证成长归母净利率(TTM), sub_2 = 国证价值归母净利率(TTM)</t>
  </si>
  <si>
    <t>国证成长-国证价值归母净利润TTM增速差</t>
  </si>
  <si>
    <t>P060</t>
  </si>
  <si>
    <t>(sub_1 - sub_2).rolling(13).mean() - (sub_1 - sub_2).rolling(26).mean() # sub_1 = 国证成长归母净利润TTM增速, sub_2 = 国证价值归母净利润TTM增速</t>
  </si>
  <si>
    <t>指数代码列'Indexcd',日期列'date',因子列'归母净利润'为原值，基于此构造增速差指标</t>
  </si>
  <si>
    <t>基于图15数据，增速差&gt;0时国证价值相对占优。数据需从Wind等来源获取指数成分股汇总净利润TTM同比增速。</t>
  </si>
  <si>
    <t>priceFactors1</t>
  </si>
  <si>
    <t>2026-05-21T06:38:22.156829+00:00</t>
  </si>
  <si>
    <t>沪深300过去30个交易日的日收益率标准差</t>
  </si>
  <si>
    <t>日期['交易日期']，收盘价["收盘价"]，基于收盘价计算过去30个交易日的日收益率标准差</t>
  </si>
  <si>
    <t>研报未明确计算标的（沪深300或上证指数），推测为上证指数。</t>
  </si>
  <si>
    <t>价值股波动率 - 成长股波动率，然后标准化</t>
  </si>
  <si>
    <t>日期['date']收盘价['close']，基于收盘价计算波动率</t>
  </si>
  <si>
    <t>价值成长指数价格未知，需定义value_index和growth_index</t>
  </si>
  <si>
    <t>成长股指数历史波动率 - 价值股指数历史波动率（使用日收益率滚动计算）</t>
  </si>
  <si>
    <t>波动率计算窗口未明确，需自定义</t>
  </si>
  <si>
    <t>市场波动率3M</t>
  </si>
  <si>
    <t>V228</t>
  </si>
  <si>
    <t>hs300_ret = hs300_close.pct_change()
vol_3m = hs300_ret.rolling(window=63).std()
# 经验CDF逆正态变换(基于 expanding 分位数)
factor = empirical_cdf_to_normal(vol_3m, method='expanding') * (-1)</t>
  </si>
  <si>
    <t>沪深300指数过去3个月日收益率波动率，经经验CDF逆正态变换标准化；基于expanding分位数信号</t>
  </si>
  <si>
    <t>日期['交易日期']，收盘价["收盘价"]，基于收盘价计算过去3个月日收益率波动率</t>
  </si>
  <si>
    <t>高波动时风险偏好低，利好沪深300；低波动利好创业板。需要沪深300日价格计算，本地数据文件可能存在空表风险。</t>
  </si>
  <si>
    <t>市场波动率状态</t>
  </si>
  <si>
    <t>V229</t>
  </si>
  <si>
    <t>windAllA_ret = windAllA_close.pct_change()
vol_ewm = calc_ewm_volatility(windAllA_ret, halflife=60, window=120, annualize=True)
factor = (vol_ewm - 0.20) * (-1)</t>
  </si>
  <si>
    <t>滚动120天半衰期加权年化波动率，阈值20%</t>
  </si>
  <si>
    <t>日期['交易日期']，收盘价["收盘价"]，基于收盘价计算滚动120天半衰期加权年化波动率，阈值20%</t>
  </si>
  <si>
    <t>半衰期加权波动率计算需自定义函数</t>
  </si>
  <si>
    <t>计算国证成长指数和国证价值指数的近1季度日收益率标准差，做多波动率最高指数，做空波动率最低指数</t>
  </si>
  <si>
    <t>日期['date']收盘价['close']，基于收盘价计算近1季度日收益率标准差</t>
  </si>
  <si>
    <t>波动率风格多空收益方向与成长/价值无直接映射，需人工定义。</t>
  </si>
  <si>
    <t>20230906-中银国际-量化指数配置系列专题（一）：基于宏观风格轮动的宽基指数配置策略</t>
  </si>
  <si>
    <t>上证指数过去3个月的累计收益率</t>
  </si>
  <si>
    <t>日期['TRADE_DT'] 指数代码['S_INFO_WINDCODE']=000001 基于收盘价 ['S_DQ_CLOSE']计算过去3个月累计收益率</t>
  </si>
  <si>
    <t>窗口设为60个交易日近似3个月，具体天数可调整。</t>
  </si>
  <si>
    <t>价值股过去一段时间收益率 - 成长股过去一段时间收益率，然后标准化</t>
  </si>
  <si>
    <t>动量效应指向价值，窗口未知</t>
  </si>
  <si>
    <t>成长/价值价格动量</t>
  </si>
  <si>
    <t>V039</t>
  </si>
  <si>
    <t>ratio = growth_close / value_close
factor = ratio.pct_change(1)</t>
  </si>
  <si>
    <t>计算成长指数与价值指数收盘价比值的日收益率（1日动量）</t>
  </si>
  <si>
    <t>日期['date']收盘价['close']，基于收盘价计算收盘价比值的日收益率，买入收益率更高的指数</t>
  </si>
  <si>
    <t>sub_1 = close_growth / close_value；成长指数可用中证500，价值指数可用上证50；数据源需匹配对应指数价格文件</t>
  </si>
  <si>
    <t>20190401-国融证券-风格配置研究：成长价值风格的日历效应及风格轮动策略构建</t>
  </si>
  <si>
    <t>每月底计算成长/价值相对净值，若当前相对净值大于过去一个月（20日）均值，则看好成长，否则看好价值。</t>
  </si>
  <si>
    <t>日期['date']收盘价['close']，基于收盘价计算投资指数的nav，然后计算指数的相对净值</t>
  </si>
  <si>
    <t>sub_1为成长/价值相对净值，根据申万成长指数和申万价值指数收盘价计算。本地缺少指数数据。</t>
  </si>
  <si>
    <t>成长价值近一季动量差</t>
  </si>
  <si>
    <t>V043</t>
  </si>
  <si>
    <t>ret_hs300   = calc_rolling_return(hs300_close,   window=63)
ret_zz1000  = calc_rolling_return(zz1000_close,  window=63)
factor = (ret_hs300 - ret_zz1000) * (-1)</t>
  </si>
  <si>
    <t>近一季沪深300收益率减去中证1000收益率</t>
  </si>
  <si>
    <t>日期['Idxtrd01']，指数代码['Indexcd']沪深300为000300，中证1000为000852，如果找不到可以去AIndexEODPrices.feather找。收盘价为['Idxtrd05']，基于此对收益率作差</t>
  </si>
  <si>
    <t>需确认沪深300、中证1000指数代码在ALL_ASSETS中是否存在。研报中原始动量策略表现不佳，仅作为输入。 本脚本从 AIndexEODPrices.parquet 读取本地可用的中证1000(000852.SH)。</t>
  </si>
  <si>
    <t>创3月新高个股成交额占比-创3月新低个股成交额占比，使用5日和250日均线判断趋势</t>
  </si>
  <si>
    <t>AIndexHS300FreeWeight.parquet[S_INFO_WINDCODE,S_CON_WINDCODE,TRADE_DT]; mktP.parquet[Stkcd,Trddt,Dnvaltrd,Adjprcwd]</t>
  </si>
  <si>
    <t>需要个股日频价格和成交额数据计算创新高新低，数据需从mktP分片和成交额数据获取，但成交额数据不明确</t>
  </si>
  <si>
    <t>ln(价值指数累积收益率) - ln(成长指数累积收益率)</t>
  </si>
  <si>
    <t>日期['date']收盘价['close']，基于收盘价计算</t>
  </si>
  <si>
    <t>具体价值和成长指数未明确，可能为申万价值指数和申万成长指数；信号方向未直接给出阈值，仅作为后续MACD输入 方向按人工确认改为 growth 40日收益 - value 40日收益，zscore窗口=180日。</t>
  </si>
  <si>
    <t>20170302-申万宏源-相对量价视角下的风格轮动研究</t>
  </si>
  <si>
    <t>收益率之差2M(平均每日）</t>
  </si>
  <si>
    <t>V060</t>
  </si>
  <si>
    <t>hs300_ret = hs300_close.pct_change(); cybz_ret = cybz_close.pct_change()
ret_dev = hs300_ret - cybz_ret
# 经验CDF逆正态变换(基于 expanding 分位数)
factor = empirical_cdf_to_normal(ret_dev, method='expanding') * (-1)</t>
  </si>
  <si>
    <t>过去2个月沪深300与创业板指每日收益率差值的均值，经经验CDF逆正态变换标准化；基于expanding分位数信号</t>
  </si>
  <si>
    <t>日期['Idxtrd01']，指数代码['Indexcd']，收盘价["Idxtrd05"]，沪深300为000300，创业板指为399006，如果找不到可以去AIndexEODPrices.feather找。收盘价为['Idxtrd05']，基于此对收益率作差</t>
  </si>
  <si>
    <t>近期收益差为正表示沪深300惯性更强，信号看多沪深300。需要两个指数日收盘价。</t>
  </si>
  <si>
    <t>动量风格多空收益</t>
  </si>
  <si>
    <t>V061</t>
  </si>
  <si>
    <t>ret_hs300   = calc_rolling_return(hs300_close,   window=255)
ret_zz1000  = calc_rolling_return(zz1000_close,  window=255)
factor = (ret_hs300 - ret_zz1000) * (-1)</t>
  </si>
  <si>
    <t>计算各备选指数近1年收益率，做多收益率最高指数，做空收益率最低指数，计算多空收益。</t>
  </si>
  <si>
    <t>动量风格多空收益方向与成长/价值无直接映射，需人工定义。备选指数同上。 本脚本从 AIndexEODPrices.parquet 读取本地可用的中证1000(000852.SH)。</t>
  </si>
  <si>
    <t>成长超额净值(中证2000/沪深300)</t>
  </si>
  <si>
    <t>V062</t>
  </si>
  <si>
    <t xml:space="preserve">calc_rolling_zscore(sub_1/sub_2, window=6) </t>
  </si>
  <si>
    <t>国证成长收盘价 / 国证价值收盘价</t>
  </si>
  <si>
    <t>日期['Idxtrd01']，指数代码['Indexcd']收盘价["Idxtrd05"]，国证成长为399370，国证价值为399371，如果找不到可以去AIndexEODPrices.feather找。收盘价为['Idxtrd05']，基于此对收益率作差</t>
  </si>
  <si>
    <t>需要中证2000指数价格，本地数据可能缺失；沪深300指数价格存在 按计划 data_field 使用国证成长399370/国证价值399371价格比，zscore窗口=6日。</t>
  </si>
  <si>
    <t>成长MACD</t>
  </si>
  <si>
    <t>V064</t>
  </si>
  <si>
    <t>成长指数收盘价计算MACD（常用参数12,26,9）</t>
  </si>
  <si>
    <t>日期['Idxtrd01']，指数代码['Indexcd'], MACD["MACD"]，国证成长指数399370，国证价值指数399371</t>
  </si>
  <si>
    <t>研报未说明MACD参数，常用12,26,9；成长指数使用海通成长200，本地缺失</t>
  </si>
  <si>
    <t>V211</t>
  </si>
  <si>
    <t>V212</t>
  </si>
  <si>
    <t>V213</t>
  </si>
  <si>
    <t>V216</t>
  </si>
  <si>
    <t>V217</t>
  </si>
  <si>
    <t>V218</t>
  </si>
  <si>
    <t>V219</t>
  </si>
  <si>
    <t>V220</t>
  </si>
  <si>
    <t>V221</t>
  </si>
  <si>
    <t>V222</t>
  </si>
  <si>
    <t>V223</t>
  </si>
  <si>
    <t>V224</t>
  </si>
  <si>
    <t>V225</t>
  </si>
  <si>
    <t>V226</t>
  </si>
  <si>
    <t>V227</t>
  </si>
  <si>
    <t>2026-05-21T07:45:33.248261+00:00</t>
  </si>
  <si>
    <t>计算成长指数与价值指数日收益率在一定窗口内的年化波动率之比，再进行移动平均平滑</t>
  </si>
  <si>
    <t>波动率计算窗口和平滑窗口未明确，成长价值指数具体标的需确定，数据源暂缺</t>
  </si>
  <si>
    <t>相对强弱指标当前值 - 5个交易日前相对强弱值</t>
  </si>
  <si>
    <t>日期['date']收盘价['close']，基于收盘价计算风格和成长指数1个月收益率差的差分</t>
  </si>
  <si>
    <t>信号规则需结合相对强弱，单独不明确；sub_1为F003计算结果</t>
  </si>
  <si>
    <t>20170605-长江证券-风格轮动：基于成分股动量的成长价值轮动策略</t>
  </si>
  <si>
    <t>沪深300指数过去3个月涨跌幅，若上涨则认为处于上涨市场</t>
  </si>
  <si>
    <t>日期['TRADE_DT'] 指数代码['S_INFO_WINDCODE']=000300 基于收盘价 ['S_DQ_CLOSE']计算过去3个月累计收益率</t>
  </si>
  <si>
    <t>事前视角，使用过去3个月收益率判断涨跌</t>
  </si>
  <si>
    <t>构建价值/成长累积收益率相对强弱指数，唐奇安通道突破：创N月新高价值延续，创N月新低成长</t>
  </si>
  <si>
    <t>日期['date']收盘价['close']，基于收盘价计算相对强弱</t>
  </si>
  <si>
    <t>参数N未明确，可能为1个月或3个月</t>
  </si>
  <si>
    <t>头部反转</t>
  </si>
  <si>
    <t>V044</t>
  </si>
  <si>
    <t>growth = calc_rolling_return(price_g, window=20)
value = calc_rolling_return(price_v, window=20)</t>
  </si>
  <si>
    <t>头部风格指数近K周收益率小于0</t>
  </si>
  <si>
    <t>日期['date']收盘价['close']，基于收盘价计算指数近K周收益率</t>
  </si>
  <si>
    <t>反转信号，单独方向不确定；参数K未明确。 condition 仅给出成长/价值20日收益，本脚本按头部风格20日收益转负构造反转信号。</t>
  </si>
  <si>
    <t>20240515-广发证券-分化度视角风格轮动策略系列（三）：基于多维度观察的风格轮动研究</t>
  </si>
  <si>
    <t>成长/价值相对净值的20日和180日均线交叉</t>
  </si>
  <si>
    <t>日期['date']收盘价['close']，基于收盘价计算相对净值</t>
  </si>
  <si>
    <t>负的动量效应，即-(价值-成长收益率)，然后标准化</t>
  </si>
  <si>
    <t>反转效应指向成长，窗口未知</t>
  </si>
  <si>
    <t>滞后价值/成长收益差</t>
  </si>
  <si>
    <t>V054</t>
  </si>
  <si>
    <t>ret_value  = value_close.pct_change()
ret_growth = growth_close.pct_change()
factor = (ret_value - ret_growth).shift(1) * (-1)</t>
  </si>
  <si>
    <t>上一期的价值指数收益率减去成长指数收益率</t>
  </si>
  <si>
    <t>V055</t>
  </si>
  <si>
    <t>成长指数近1个月收益率 - 价值指数近1个月收益率</t>
  </si>
  <si>
    <t>研报未明确计算窗口，推测为月度收益差；需确认成长/价值指数定义（海通价值100、成长200） 本脚本按 condition 使用本地 growth_index.xlsx/value_index.xlsx，不额外调整方向。</t>
  </si>
  <si>
    <t>V058</t>
  </si>
  <si>
    <t>ret_diff = (calc_rolling_return(value_close,  window=40)
            - calc_rolling_return(growth_close, window=40))
factor = calc_rolling_zscore(ret_diff, window=180) * (1)</t>
  </si>
  <si>
    <t>成长指数月度收益率减去价值指数月度收益率</t>
  </si>
  <si>
    <t>数据源缺失，海通价值100和成长200指数未在本地找到；无单独阈值方向 本脚本按 condition 使用本地 growth_index.xlsx/value_index.xlsx，不额外调整方向。</t>
  </si>
  <si>
    <t>V065</t>
  </si>
  <si>
    <t>sub_1.rolling(window=5).mean() - sub_1.rolling(window=20).mean()</t>
  </si>
  <si>
    <t>成长指数的MACD指标，典型参数如快线12、慢线26、信号线9</t>
  </si>
  <si>
    <t>本脚本按 condition 使用国证成长399370的MACD计算5日均值减20日均值。</t>
  </si>
  <si>
    <t>B_factors/reference/working_multiple_factors_plan_completed_V071_V142 2.json</t>
  </si>
  <si>
    <t>working_multiple_factors_plan_c</t>
  </si>
  <si>
    <t>priceFactors2</t>
  </si>
  <si>
    <t>2026-05-21T14:59:26.170429+00:00</t>
  </si>
  <si>
    <t>成长与价值相对波动率，滚动1年95%和5%分位数作为阈值，结合相对净值5日和20日均线交叉确认信号</t>
  </si>
  <si>
    <t>growth_index.xlsx，日期['date']，收盘价['close']；value_index.xlsx，日期['date']，收盘价['close']；基于两者收盘价计算日收益率，滚动60日标准差之比为相对波动率，滚动252日分位数确定上下轨</t>
  </si>
  <si>
    <t>研报使用中证2000/沪深300，但本地有国证成长(399370)/国证价值(399371)对应日频数据更合适。因子为稀疏序列（大多数时刻=0），按模板规范对输入变量分别zscore后组合，不对整体输出zscore。原始逻辑：成长拥挤=&gt;value，价值拥挤=&gt;growth，已内化到condition符号中。</t>
  </si>
  <si>
    <t>中证全指近一季（约63日）成交额均值与近两年（约504日）成交额均值之差</t>
  </si>
  <si>
    <t>中证全指(000985.CSI)-历史价格.xlsx，日期['交易日期']，成交额['成交额(元,CNY)']</t>
  </si>
  <si>
    <t>原始数据字段已在待完成版中标注为'成交额(元,CNY)'，与data_inventory确认一致。差值&gt;0代表近期成交活跃（偏成长），无需方向翻转。</t>
  </si>
  <si>
    <t>每年6月份触发该事件</t>
  </si>
  <si>
    <t>日历因子，无需数据文件；sub_1 为任意带日期索引的序列（可用中证全指收盘价作为时间轴载体）：A_data/data/style_indexes/中证全指(000985.CSI)-历史价格.xlsx，日期['交易日期']</t>
  </si>
  <si>
    <t>日历事件型因子，研报方向为'价值蓝筹'即 =&gt;value，在condition中输出负值实现规范对齐。强度以月内进度线性衰减（月初幅度小、月末幅度大），无信号月份保持0，符合稀疏序列规范，无需对整体做zscore。 本脚本按 event 因子规则使用 NaN 表示非触发日。</t>
  </si>
  <si>
    <t>每年12月份触发该事件</t>
  </si>
  <si>
    <t>日历事件型因子，研报方向为'价值蓝筹'即 =&gt;value，在condition中输出负值实现规范对齐。处理方式同F012（V138）。 本脚本按 event 因子规则使用 NaN 表示非触发日。</t>
  </si>
  <si>
    <t>各行业月末市盈率</t>
  </si>
  <si>
    <t>STK_MKT_DALYR.xlsx，交易日期['TradingDate']，股票代码['Symbol']，市盈率['PE']；按研报所指五个行业（金融、材料、能源、医药、消费）筛选成分股后取月末均值；如使用中信行业指数则：D_中信行业指数+恒生指数_CN_041231_260320.xlsx，银行['中信行业指数:银行']、基础化工['中信行业指数:基础化工']、石油石化['中信行业指数:石油石化']、医药['中信行业指数:医药']、食品饮料['中信行业指数:食品饮料']</t>
  </si>
  <si>
    <t>研报基于华夏上证行业ETF（金融、材料、能源、医药、消费五类），本地无对应行业PE时序文件。近似方案：①STK_MKT_DALYR.xlsx含个股PE，按行业分类聚合取均值；②中信行业指数价格可用于计算行业相对强弱但不含PE。signal_rule为unknown，sub_pe作为原始连续值交由下游模型学习，暂不做方向假设。 本脚本使用 prepared_data 中五个指数估值文件的市盈率TTM均值作为行业PE近似；原研报上证行业ETF分行业PE口径仍需人工确认。</t>
  </si>
  <si>
    <t>B_factors/reference/working_multiple_factors_plan_completed_V071_V142 1.json</t>
  </si>
  <si>
    <t>行业月末市盈率 / 行业市盈率历史均值</t>
  </si>
  <si>
    <t>STK_MKT_DALYR.xlsx，交易日期['TradingDate']，股票代码['Symbol']，市盈率['PE']；按行业筛选后取月末均值PE，再除以该行业滚动36个月历史均值PE</t>
  </si>
  <si>
    <t>历史窗口未在研报中明确，默认使用36个月（3年）滚动均值，需人工确认。signal_rule为unknown，direction由SVM/模型学习；raw&gt;0表示PE高于历史均值（估值偏贵/趋势强），方向假设依赖下游模型。数据源同F007（V140）。 本脚本使用 prepared_data 中五个指数估值文件的市盈率TTM均值作为行业PE近似；原研报上证行业ETF分行业PE口径仍需人工确认。</t>
  </si>
  <si>
    <t>成长指数市盈率/价值指数市盈率，计算该比值滚动3年历史分位数</t>
  </si>
  <si>
    <t>D_PE+PB+DI+PS+PC+调仓_growth_100104_260325.xlsx，日期['交易日期']，市盈率TTM['市盈率TTM']；D_PE+PB+DI+PS+PC+调仓_value_100104_260325.xlsx，日期['交易日期']，市盈率TTM['市盈率TTM']；计算两者比值后做3年滚动分位数</t>
  </si>
  <si>
    <t>原始规则：分位数&gt;0.8 =&gt; value，分位数&lt;0.2 =&gt; growth；condition中已乘以-1翻转，使高分位输出负值（value方向），符合规范。因子为稀疏序列（仅分位数越界时有信号），按规范对各输入分别处理，不对整体做zscore。数据来源已在原待完成版中给出，确认与data_inventory一致。 本脚本按 event 因子规则使用 NaN 表示非触发日。</t>
  </si>
  <si>
    <t>B_factors/reference/working_multiple_factors_plan_completed_V071_V142 3.json</t>
  </si>
  <si>
    <t>priceFactors3</t>
  </si>
  <si>
    <t>2026-05-21T15:06:45.444886+00:00</t>
  </si>
  <si>
    <t>沪深300收盘价 / 中证2000收盘价</t>
  </si>
  <si>
    <t>growth_index.xlsx，日期['date']，收盘价['close']；value_index.xlsx，日期['date']，收盘价['close']</t>
  </si>
  <si>
    <t>研报 calc_method 写的是「沪深300/中证2000」，但因子名为「成长价值相对强弱指数」，语义上应为成长指数/价值指数。中证2000本地缺失，改用国证成长(399370)/国证价值(399371)更符合语义且数据完整。若需严格按研报，沪深300本地有，中证2000需外部获取。方向：growth/value上升 =&gt; &gt;0 =&gt; growth，已对齐规范。</t>
  </si>
  <si>
    <t>滚动窗口内沪深300日收益率标准差 / 滚动窗口内中证2000日收益率标准差</t>
  </si>
  <si>
    <t>中证2000本地缺失，以国证成长/价值指数替代，语义更贴合成长价值分析框架。研报未给出滚动窗口，使用60日作为合理默认值。方向假设：成长相对波动率上升 =&gt; 市场交易更活跃于成长侧 =&gt; signal&gt;0=成长，方向存在不确定性，建议回测验证。 本脚本按计划记录使用60日滚动波动率和504日滚动标准化。</t>
  </si>
  <si>
    <t>滚动窗口内沪深300成交额标准差 / 滚动窗口内中证2000成交额标准差</t>
  </si>
  <si>
    <t>growth_index.xlsx，日期['date']，成交额['amount']；value_index.xlsx，日期['date']，成交额['amount']</t>
  </si>
  <si>
    <t>中证2000成交额本地缺失，以国证成长/价值指数成交额替代。研报未给出滚动窗口，使用60日作为默认值。方向假设与F012一致：成长侧成交额波动更大 =&gt; signal&gt;0=成长，建议回测验证。 本脚本按计划记录使用60日滚动波动率和504日滚动标准化。</t>
  </si>
  <si>
    <t>全市场超买个股占比-超卖个股占比，使用5日和250日均线判断趋势</t>
  </si>
  <si>
    <t>growth_index.xlsx，日期['date']，RSI_5D['RSI_5D']；value_index.xlsx，日期['date']，RSI_5D['RSI_5D']</t>
  </si>
  <si>
    <t>研报原文需要全市场个股超买超卖状态（个股RSI或均线判断），个股级数据计算成本高且依赖完整行情库。本实现以国证成长/价值指数的RSI5D差值作为简化代理，用5日与250日均线差值作为连续信号强度，规避离散化。若需严格实现：个股数据可从 A_data/data/Daily/mktP.parquet 的收盘价[Adjprcwd]计算RSI，再按成长/价值成分股分组统计超买超卖占比。 本脚本按计划记录使用国证成长/国证价值 RSI_5D 差值代理全市场超买超卖。</t>
  </si>
  <si>
    <t>上行趋势因子</t>
  </si>
  <si>
    <t>V135</t>
  </si>
  <si>
    <t># 逐日计算全市场个股收盘价是否位于20日均线上方
ma20 = close.rolling(20).mean()
ratio_above_ma20 = (close &gt; ma20).groupby('Trddt').mean()
# 短均线 - 长均线作为连续因子，正值=趋势向上=成长
raw = ratio_above_ma20.rolling(5).mean() - ratio_above_ma20.rolling(250).mean()
factor = calc_rolling_zscore(raw, window=504)</t>
  </si>
  <si>
    <t>全市场位于月度均线上方个股占比，使用5日和250日均线判断趋势</t>
  </si>
  <si>
    <t>mktP.parquet，股票代码['Stkcd']，交易日期['Trddt']，复权收盘价['Adjprcwd']；基于个股收盘价计算20日均线（月度均线近似），统计每日位于均线上方的个股占比，再对该占比序列做5日与250日移动平均之差</t>
  </si>
  <si>
    <t>研报原文使用月度均线，本地数据为日频，以20日均线近似月度均线。mktP.parquet 含全市场个股收盘价，可直接计算每日占比。方向：短均线&gt;长均线 =&gt; 趋势向上 =&gt; growth，与规范一致，无需翻转。 本脚本使用 mktP.parquet 复权收盘价计算全市场个股位于20日均线上方占比。</t>
  </si>
  <si>
    <t>B_factors/reference/working_multiple_factors_plan_completed_V071_V142 4.json</t>
  </si>
  <si>
    <t>VADI_t = DI_t × (M × 当月成交量 / 近M期平均成交量)，M为参数</t>
  </si>
  <si>
    <t>mktP.parquet，股票代码['Stkcd']，日期['Trddt']，日收益率['Dretwd']，成交额['Dnvaltrd']，成交量['Dnshrtrd']</t>
  </si>
  <si>
    <t>M取值研报未明确，此处默认M=12（月），可根据实证调整。个股成交量可用mktP.parquet中Dnshrtrd（换手率）×流通市值代理，或直接用Dnvaltrd（成交额）作为成交量代理指标（量纲一致即可）。VADI依赖DI（V125/F001）的计算结果，两者需串联计算。原notes提示本地个股成交量数据源不明确，建议优先使用Dnvaltrd成交额作为成交量代理。 本脚本用 mktP.parquet 的 Dretwd 计算月度 DI，用 Dnvaltrd 作为成交量代理。</t>
  </si>
  <si>
    <t>20240225-广发证券-分化度视角风格轮动策略系列（二）：观市场结构变化，察风格轮动规律</t>
  </si>
  <si>
    <t>近一季沪深300日波动率/中证1000日波动率的均值，减去上一季均值</t>
  </si>
  <si>
    <t>沪深300(000300.SH)-历史价格.xlsx，日期['交易日期']，收盘价['收盘价']；中证1000(000852.SH)-历史价格.xlsx，日期['交易日期']，收盘价['收盘价']</t>
  </si>
  <si>
    <t>研报方向：季均差分 &gt;0 表示大盘波动率相对小盘上升，意味着资金拥挤成长（小盘），信号 &gt;0 =&gt; growth，与规范一致，无需翻转。ALL_ASSETS.xlsx 仅含 399370/399371 两个指数，不含000300/000852，故改用各自独立 xlsx 文件。</t>
  </si>
  <si>
    <t>近一季广义价值拥挤度月末均值减去过去三季广义价值拥挤度月末均值；广义价值拥挤度=偏股基金指数近一季日波动率/万得全A近一季日波动率</t>
  </si>
  <si>
    <t>偏股基金(930950.CSI)-历史价格.xlsx，日期['交易日期']，收盘价['收盘价']；8841388.WI_windallA.xlsx，日期['交易日期']，收盘价['收盘价']</t>
  </si>
  <si>
    <t>本地已存在偏股基金指数(930950.CSI)和万得全A(8841388.WI)数据，可替代研报所提「偏股基金指数」和「万得全A」。研报原文使用「广义价值拥挤度」，方向 &gt;0 意味拥挤在价值侧，原始 signal_rule 为 &lt;0 =&gt; growth，与本项目规范相反，已在 condition 中通过 q1_mean - q3_mean（差值上升=&gt;成长方向）对齐，注意逻辑：拥挤度上升=&gt;价值拥挤度上升=&gt;资金流向成长。</t>
  </si>
  <si>
    <t>每周计算主流宽基指数收益率的截面标准差</t>
  </si>
  <si>
    <t>沪深300(000300.SH)-历史价格.xlsx，日期['交易日期']，收盘价['收盘价']；中证1000(000852.SH)-历史价格.xlsx，日期['交易日期']，收盘价['收盘价']；中证全指(000985.CSI)-历史价格.xlsx，日期['交易日期']，收盘价['收盘价']；创业板指(399006.SZ)-历史价格.xlsx，日期['交易日期']，收盘价['收盘价']</t>
  </si>
  <si>
    <t>研报原文信号方向不明确（signal_rule=unknown），分化度本身为对称指标，高值意味着市场风格差异大，不直接对应成长/价值。此处假设分化度高时成长相对优势更显著（基于研报描述分化度上升常伴随成长行情），保留 zscore 作为连续强度，下游可根据回测结果翻转方向（乘以-1）。缺少中证2000数据，以现有四个宽基替代。 分化度本身方向不确定，本脚本沿计划记录保留正向 zscore 代理。</t>
  </si>
  <si>
    <t>对于头部风格指数，计算近1周成交量在历史N%分位数，若超过阈值则标记为拥挤</t>
  </si>
  <si>
    <t>研报原文信号方向不明确，拥挤度本身是反转信号前置条件。本实现以成长vs价值侧成交额滚动分位数之差作为连续因子（&gt;0表示成长侧更拥挤），方向存在不确定性，建议回测验证后决定是否乘以-1。参数N=52（周频1年）为合理默认值，研报未明确。 头部拥挤度方向不确定，本脚本沿计划记录使用成长/价值周成交额分位数差。</t>
  </si>
  <si>
    <t>相对赚钱效应</t>
  </si>
  <si>
    <t>V121</t>
  </si>
  <si>
    <t># 100%换手筹码成本近似：过去N日最大换手累计对应的均价作为成本价
# 简化代理：中证500近期涨跌幅 - 沪深300近期涨跌幅（相对超额收益）
# sub_1 = 中证500收盘价序列，sub_2 = 沪深300收盘价序列
ret_500 = sub_1.pct_change(20)   # 近20日收益率作代理
ret_300 = sub_2.pct_change(20)
raw = ret_500 - ret_300
factor = calc_rolling_zscore(raw, window=504)</t>
  </si>
  <si>
    <t>B_factors/reference/working_multiple_factors_plan_completed_V071_V142 5.json</t>
  </si>
  <si>
    <t>priceFactors4</t>
  </si>
  <si>
    <t>2026-05-21T15:19:46.534911+00:00</t>
  </si>
  <si>
    <t>中证500过去100%换手筹码当前收益率 - 沪深300对应收益率</t>
  </si>
  <si>
    <t>index_eod.parquet 中筛选 Indexcd==000905，日期['Idxtrd01']，收盘价['Idxtrd05']；沪深300(000300.SH)-历史价格.xlsx，日期['交易日期']，收盘价['收盘价']</t>
  </si>
  <si>
    <t>原研报需要「100%换手筹码」数据，计算成本极高且本地无现成字段。此处以中证500 vs 沪深300的近期相对超额收益作合理代理（中证500偏成长/小盘，沪深300偏价值/大盘）；方向与研报一致（500跑赢=&gt;成长占优=&gt;正值）。notes原文提示效果不佳，下游可降权处理。 本脚本按计划代理口径使用中证500与沪深300的20日收益差。</t>
  </si>
  <si>
    <t>将1个月偏度、1个月峰度、12个月波动率因子等权合成。偏度和峰度基于日内最高价与最低价衍生的收益率计算，波动率为行业指数收益率的波动率。</t>
  </si>
  <si>
    <t>D_中信行业指数+恒生指数_CN_041231_260320.xlsx，日期['指标名称'行首]，各行业指数收盘价（用于波动率）；mktP.parquet，股票代码['Stkcd']，日期['Trddt']，日收益率['Dretwd']，收盘价['Adjprcwd']（用于偏度/峰度计算）</t>
  </si>
  <si>
    <t>方向原为unknown，根据研报逻辑「拥挤度高=&gt;预期收益低」判断为负向因子，已乘以-1翻转，notes补充说明。行业级别因子此处以成长行业（如电子、计算机、电力设备）vs 价值行业综合拥挤度差值使用效果更好；本实现简化为全市场综合拥挤度代理。偏度、峰度计算使用个股截面月度数据，可从mktP.parquet的Dretwd字段按月汇总。 本脚本使用 mktP.parquet 的月度个股收益截面偏度、峰度和等权市场收益12个月波动率代理综合拥挤度。</t>
  </si>
  <si>
    <t>基于成长成长指数每日开盘价、最高价、最低价的AR指标，公式被省略，需人工补充</t>
  </si>
  <si>
    <t>growth_index.xlsx，日期['date']，开盘价['open']，最高价['high']，最低价['low']</t>
  </si>
  <si>
    <t>AR公式在原研报中为图片无法读取，此处采用技术分析标准AR公式（买方/卖方力道比）补全。研报信号规则为&gt;60日均值=&gt;成长，已转为连续偏离值（差值型）保留强度。growth_index.xlsx包含open/high/low字段，可直接使用。</t>
  </si>
  <si>
    <t>沪深两市成交额相对趋势</t>
  </si>
  <si>
    <t>V124</t>
  </si>
  <si>
    <t># 研报原始规则：&gt;0 =&gt; value；&lt;0 =&gt; growth（高成交表示市场拥挤，价值防御）
# 方向翻转：乘以-1 =&gt; &gt;0代表低于均值=&gt;成长
sh_amt = sh_index['成交额(元,CNY)']
sz_amt = sz_index['成交额(元,CNY)']
total_amt = sh_amt + sz_amt
raw = (total_amt - total_amt.rolling(23).mean()) * (-1)  # 翻转：低成交额=&gt;正值=&gt;成长
factor = calc_rolling_zscore(raw, window=504)</t>
  </si>
  <si>
    <t>沪深两市日成交额（沪+深）减去其过去23日均值</t>
  </si>
  <si>
    <t>沪深300(000300.SH)-历史价格.xlsx，日期['交易日期']，成交额['成交额(元,CNY)']；中证全指(000985.CSI)-历史价格.xlsx，日期['交易日期']，成交额['成交额(元,CNY)']</t>
  </si>
  <si>
    <t>原始signal_rule为&gt;0=&gt;value，已在condition中乘以-1翻转以符合规范（&gt;0=&gt;growth）。理想数据为沪市+深市日成交额，本地暂无纯市场成交额汇总文件；以沪深300代理上证、中证全指代理深证成交额为近似方案。如有全市场日成交额文件可直接替换。index_eod.parquet中若有对应指数的成交额字段亦可使用。 本脚本按计划代理口径使用沪深300与中证全指成交额之和。</t>
  </si>
  <si>
    <t>股票横截面月收益率标准差，剔除涨跌幅首尾各10%的个股</t>
  </si>
  <si>
    <t>mktP.parquet，股票代码['Stkcd']，日期['Trddt']，日收益率（复权）['Dretwd']</t>
  </si>
  <si>
    <t>DI本身无直接方向，根据研报逻辑：高分化度时市场结构分散，成长股相对价值股趋势更明显，故设定DI偏高（相对均值）为正值（成长信号）。实际应与V126(VADI)配合使用效果更佳。计算需逐月处理个股收益率截面，从mktP.parquet Dretwd字段获取，已有路径data_public/Daily/mktP/在原始记录中，统一改为本地路径A_data/data/Daily/mktP.parquet。 本脚本使用 mktP.parquet 的 Dretwd 计算月度截面 DI。</t>
  </si>
  <si>
    <t>B_factors/reference/working_multiple_factors_plan_completed_V071_V142 6.json</t>
  </si>
  <si>
    <t>60天上行波动率与下行波动率之比，成分股合成后取成长/价值比率</t>
  </si>
  <si>
    <t>AIndexHS300FreeWeight.parquet，指数代码['S_INFO_WINDCODE']（399370.SZ/399371.SZ），成分股代码['S_CON_WINDCODE']，日期['TRADE_DT']；S_DQ_ADJCLOSE.parquet，日期['TRADE_DT']，个股收盘价[股票代码列]</t>
  </si>
  <si>
    <t>研报名称为 SEMIVLOT_60D_DN（下行半波动率），成长/价值比率越高表示成长侧下行风险更大，方向与规范相反，condition 已乘以 -1。若研报实际定义为上行/下行比率（UP/DN），需重新确认方向。 本脚本使用 S_DQ_ADJCLOSE.parquet 宽表复权收盘价计算个股收益率。</t>
  </si>
  <si>
    <t>PVOLT20D_MA60D因子比率（成长/价值）</t>
  </si>
  <si>
    <t>V117</t>
  </si>
  <si>
    <t># PVOLT20D_MA60D：个股 20 日价格波动率的 60 日移动平均
# 成长/价值比率 &gt;1 =&gt; 成长成分股波动率持续高于价值 =&gt; 成长行情活跃
ret_wide = S_DQ_ADJCLOSE.pct_change()
# 20 日波动率的 60 日均值
pvolt = ret_wide.rolling(20).std().rolling(60).mean()
# 成长成分股等权平均
growth_comps = AIndexHS300FreeWeight[
    AIndexHS300FreeWeight['S_INFO_WINDCODE'] == '399370.SZ'
]['S_CON_WINDCODE']
sub_1 = pvolt[growth_comps].mean(axis=1)
# 价值成分股等权平均
value_comps = AIndexHS300FreeWeight[
    AIndexHS300FreeWeight['S_INFO_WINDCODE'] == '399371.SZ'
]['S_CON_WINDCODE']
sub_2 = pvolt[value_comps].mean(axis=1)
# 比率 &gt;1 =&gt; 成长波动率更高 =&gt; 成长活跃（风险偏好上升）
raw    = sub_1 / sub_2
factor = calc_rolling_zscore(raw - 1, window=504)</t>
  </si>
  <si>
    <t>20天波动率的60日均值，成分股合成后取成长/价值比率</t>
  </si>
  <si>
    <t>成长板块波动率高于价值通常对应风险偏好上升、成长行情，方向符合 &gt;0 =&gt; growth，无需翻转。如实证检验发现方向相反，在 condition 末尾乘以 -1 即可。 本脚本使用 S_DQ_ADJCLOSE.parquet 宽表复权收盘价计算个股收益率。</t>
  </si>
  <si>
    <t>VOLTcs因子比率（成长/价值）</t>
  </si>
  <si>
    <t>V118</t>
  </si>
  <si>
    <t># VOLTcs：截面波动率 = 当日所有成分股收益率的横截面标准差
# 成长/价值截面波动率比率 &gt;1 =&gt; 成长内部分化更大 =&gt; 个股效应主导 =&gt; 成长行情
ret_wide = S_DQ_ADJCLOSE.pct_change()
# 成长成分股截面波动率（当日截面 std）
growth_comps = AIndexHS300FreeWeight[
    AIndexHS300FreeWeight['S_INFO_WINDCODE'] == '399370.SZ'
]['S_CON_WINDCODE']
sub_1 = ret_wide[growth_comps].std(axis=1)   # 日截面 std（无需 rolling）
# 价值成分股截面波动率
value_comps = AIndexHS300FreeWeight[
    AIndexHS300FreeWeight['S_INFO_WINDCODE'] == '399371.SZ'
]['S_CON_WINDCODE']
sub_2 = ret_wide[value_comps].std(axis=1)
# 成长截面波动率 &gt; 价值截面波动率 =&gt; 成长内部分化大 =&gt; 成长行情
raw    = sub_1 / sub_2
factor = calc_rolling_zscore(raw - 1, window=504)</t>
  </si>
  <si>
    <t>指数成分股横截面波动率，合成后取成长/价值比率</t>
  </si>
  <si>
    <t>VOLTcs 为截面（cross-sectional）波动率，与时序波动率不同，无需 rolling window 即可逐日计算。成长截面波动率高于价值通常意味着成长内部有明显强弱分化，为成长行情特征，方向符合 &gt;0 =&gt; growth，无需翻转。 本脚本使用 S_DQ_ADJCLOSE.parquet 宽表复权收盘价计算个股收益率。</t>
  </si>
  <si>
    <t>120天换手率变动，成分股合成后取成长/价值比率</t>
  </si>
  <si>
    <t>AIndexHS300FreeWeight.parquet，指数代码['S_INFO_WINDCODE']，成分股['S_CON_WINDCODE']，日期['TRADE_DT']，权重['I_WEIGHT']；mktP.parquet，股票代码['Stkcd']，日期['Trddt']，日换手率['Dnshrtrd']</t>
  </si>
  <si>
    <t>sub_1/sub_2 为比率型，用 ratio-1 保留偏离幅度；换手率 120 日均值需对个股成分股按权重合成。本地 mktP.parquet 含 Dnshrtrd（日换手率），可滚动求 120 日均值后按成分股权重加权合成成长/价值两侧；AIndexHS300FreeWeight.parquet 存有成长(399370)/价值(399371)成分股权重。 本脚本沿计划记录将 mktP.parquet 的 Dnshrtrd 作为换手率代理，并按成分权重合成风格侧指标。</t>
  </si>
  <si>
    <t>20天上行换手率与下行换手率之比，成分股合成后取成长/价值比率</t>
  </si>
  <si>
    <t>AIndexHS300FreeWeight.parquet，指数代码['S_INFO_WINDCODE']，成分股['S_CON_WINDCODE']，日期['TRADE_DT']，权重['I_WEIGHT']；mktP.parquet，股票代码['Stkcd']，日期['Trddt']，日换手率['Dnshrtrd']，日收益率['Dretwd']</t>
  </si>
  <si>
    <t>上行换手率 = 当日收益率&gt;0 时的换手率，下行换手率 = 当日收益率&lt;0 时的换手率，需先区分涨跌日。mktP.parquet 中 Dretwd 为日收益率、Dnshrtrd 为换手率，可按涨跌日分别求 20 日滚动均值后计算比率。计算结果与 F017 思路相同，方向一致（成长换手率动能&gt;价值则为正信号）。 本脚本沿计划记录将 mktP.parquet 的 Dnshrtrd 作为换手率代理，并按成分权重合成风格侧指标。</t>
  </si>
  <si>
    <t>B_factors/reference/working_multiple_factors_plan_completed_V071_V142 7.json</t>
  </si>
  <si>
    <t>priceFactors5</t>
  </si>
  <si>
    <t>2026-05-21T23:56:51.677069+00:00</t>
  </si>
  <si>
    <t>对一阶导数序列再进行移动窗口线性回归，取斜率作为二阶导数替代。</t>
  </si>
  <si>
    <t>回归窗口 window_w1、window_w2 研报未明确，建议参数探索范围 w1=20~60，w2=10~30。二阶导数 &gt;0 表示成长相对动量在加速，符合 &gt;0 =&gt; growth 规范。 本脚本使用 w1=40、w2=20 作为研报未明确回归窗口的中间参数。</t>
  </si>
  <si>
    <t>20180314-申万宏源-风格轮动与行业配置</t>
  </si>
  <si>
    <t>先计算股票池月收益率标准差作为分化度DI，剔除涨跌幅首尾各10%个股，剩余80%个股的收益率标准差乘以相对成交量（个股当月成交量 / 过去12个月成交量均值）得到MADI</t>
  </si>
  <si>
    <t>Astockdaily.parquet，交易日期['TradingDate']，股票代码['Symbol']，日收益率['Ret']，成交额['Amount']</t>
  </si>
  <si>
    <t>原始因子方向：MADI 高 =&gt; 分化严重 =&gt; 反转策略（价值）；MADI 低 =&gt; 趋势（成长）。condition 已乘以 -1 对齐规范。月频计算需先按 Symbol 分组再按月 resample，rel_vol 取截面均值作为近似；研报方向不适合直接套用 &gt;0 =&gt; growth，已在 notes 说明翻转原因。 Astockdaily.parquet 的 Ret 字段为股息率说明，本脚本使用 ChangeRatio 作为个股日收益率代理。</t>
  </si>
  <si>
    <t>20190108-广发证券-多因子Alpha系列报告之（三十八）：从个股分化看风格轮动</t>
  </si>
  <si>
    <t>根据历史统计，2/3/8/9/10月成长风格较强，4/6/12月价值风格较强，其余月份中性（1/5/7/11月方向不稳定）</t>
  </si>
  <si>
    <t>原 condition 已有月份规则，此处改为连续强度版本：用该月份历史成长超额均值作为因子值，保留方向与程度信息。2/3/8/9/10 月均值为正，4/6/12 月为负，1/5/7/11 月接近 0，符合规范。月频因子，下游使用时注意对齐频率。 本脚本按日历月历史成长超额均值构造事件强度，并对同月历史均值使用一期滞后避免使用当月未来收益。</t>
  </si>
  <si>
    <t>主力支撑相对强弱(RSRS)的拟合优度，成分股合成后取成长/价值比率</t>
  </si>
  <si>
    <t>AIndexHS300FreeWeight.parquet，指数代码['S_INFO_WINDCODE']（399370.SZ/399371.SZ），成分股代码['S_CON_WINDCODE']，日期['TRADE_DT']；S_DQ_ADJCLOSE.parquet，日期['TRADE_DT']，个股收盘价[股票代码列]；Astockdaily.parquet 可补充个股日内高低价（如有）</t>
  </si>
  <si>
    <t>本地数据无独立高低价宽表，建议从 Astockdaily.parquet（字段 ChangeRatio/Amount 等）确认是否含高低价；若无，可用个股收盘价近似（以相邻两日收盘价代替高低价，精度有损）。RSRS 窗口默认 18 日（研报常用）。 本地无个股高低价宽表，本脚本用当日/前日复权收盘价构造近似高低价后计算 RSRS R²。</t>
  </si>
  <si>
    <t>上证50成分股横截面相关系数CORRapx</t>
  </si>
  <si>
    <t>V115</t>
  </si>
  <si>
    <t># 上证50成分股（000016.SH）日收益率横截面平均相关系数
# 相关系数高 =&gt; 个股高度同涨同跌 =&gt; 系统性风险主导 =&gt; 价值风格占优
# 故原始方向与规范相反，乘以 -1
# 取上证50成分股
sh50_comps = AIndexHS300FreeWeight[
    AIndexHS300FreeWeight['S_INFO_WINDCODE'] == '000016.SH'
]['S_CON_WINDCODE'].unique()
# 个股日收益率（宽表）
ret_wide = S_DQ_ADJCLOSE[sh50_comps].pct_change()
# 滚动截面平均相关系数（20日窗口）
def mean_cross_corr(ret_df, window=20):
    result = []
    for i in range(window, len(ret_df)):
        sub = ret_df.iloc[i-window:i].dropna(axis=1, how='any')
        corr_mat = sub.corr()
        n = corr_mat.shape[0]
        # 取上三角均值（排除对角线）
        upper = corr_mat.values[np.triu_indices(n, k=1)]
        result.append(upper.mean() if len(upper) &gt; 0 else np.nan)
    idx = ret_df.index[window:]
    return pd.Series(result, index=idx)
raw    = mean_cross_corr(ret_wide, window=20)
# 相关系数高 =&gt; 价值，翻转
factor = calc_rolling_zscore(raw, window=504) * (-1)</t>
  </si>
  <si>
    <t>计算上证50指数成分股日收益率的横截面平均相关系数</t>
  </si>
  <si>
    <t>AIndexHS300FreeWeight.parquet，指数代码['S_INFO_WINDCODE']（000016.SH），成分股代码['S_CON_WINDCODE']，日期['TRADE_DT']；S_DQ_ADJCLOSE.parquet，日期['TRADE_DT']，个股收盘价[股票代码列]</t>
  </si>
  <si>
    <t>注意：AIndexHS300FreeWeight 文件描述注明仅含 399370/399371 数据，上证50（000016）成分是否存在需确认；若无，需另行获取上证50成分股列表。相关系数高 =&gt; 系统性行情 =&gt; 价值占优，condition 已乘以 -1 翻转。 本脚本使用 AIndexHS300FreeWeight.parquet 中的 000016.SH 成分和 S_DQ_ADJCLOSE.parquet 收盘价宽表。</t>
  </si>
  <si>
    <t>B_factors/reference/working_multiple_factors_plan_completed_V071_V142 8.json</t>
  </si>
  <si>
    <t>ln(风格指数1累积收益率+1) - ln(风格指数2累积收益率+1)。风格指数1为目标风格板块指数，风格指数2可选择全市场指数或另一风格指数。</t>
  </si>
  <si>
    <t>研报原文风格指数为申万一级行业聚类划分的五大板块加权构建，本地无此自定义数据。以国证成长(399370)代替成长板块指数、国证价值(399371)代替价值板块指数作为替代方案。此因子为V107/V108（斜率/斜率变化率）的中间变量sub_1。 本脚本使用本地 growth_index.xlsx/value_index.xlsx 的 close 构造 log 成长/价值相对强弱。</t>
  </si>
  <si>
    <t>20170918-申万宏源-风格轮动与行业聚类</t>
  </si>
  <si>
    <t>对风格相对强弱指数 (F001) 进行移动窗口线性回归，以时间（如窗口内各交易日序号）为自变量，相对强弱指数为因变量，回归系数作为斜率 β1。窗口长度研报未明确。</t>
  </si>
  <si>
    <t>窗口长度研报未明确，推测为60个交易日（约3个月）。回归前可加MA平滑rs序列以过滤噪声（未纳入此处）。依赖V106的rs计算结果。 本脚本按计划记录使用 60 日滚动线性回归斜率。</t>
  </si>
  <si>
    <t>β2 = β1 的一阶差分，即 β1_t - β1_{t-1}。</t>
  </si>
  <si>
    <t>β2为β1一阶差分，刻画相对强弱曲线加速度。β2&gt;0表示成长相对强势趋势在加速，方向已与signal_rule对齐（&gt;0 =&gt; growth）。依赖V107的beta1计算结果。 本脚本按计划记录使用 V107 斜率的一阶差分。</t>
  </si>
  <si>
    <t>风格相对强弱指标</t>
  </si>
  <si>
    <t>V109</t>
  </si>
  <si>
    <t># 以国证成长(399370)为风格A，国证价值(399371)为风格B
# ln(close_g) - ln(close_v) &gt; 0 =&gt; 成长相对强势
rs = np.log(close_growth) - np.log(close_value)
factor = calc_rolling_zscore(rs, window=504)</t>
  </si>
  <si>
    <t>ln(风格A指数价格) - ln(风格B指数价格)</t>
  </si>
  <si>
    <t>研报原文使用金融、周期、消费、成长四大自定义风格指数价格，本地无此数据。以国证成长(399370)和国证价值(399371)作为成长/价值风格替代。此因子与V106计算逻辑相同，为V110斜率因子的中间变量。 本脚本使用本地 growth_index.xlsx/value_index.xlsx 的 close 构造 log 成长/价值相对强弱。</t>
  </si>
  <si>
    <t>对RS序列进行移动平均过滤，再在移动窗口内做一元线性回归，取斜率作为一阶导数替代。</t>
  </si>
  <si>
    <t>研报未明确移动平均窗口和线性回归窗口大小，此处取平滑窗口=20日、回归窗口=60日作为默认值。与V107计算逻辑相近，区别在于本因子先对RS进行MA平滑再做回归。 本脚本按计划记录使用 20 日平滑后再计算 60 日滚动线性回归斜率。</t>
  </si>
  <si>
    <t>成长价值指数涨幅差(滞后1期)</t>
  </si>
  <si>
    <t>V101</t>
  </si>
  <si>
    <t># 使用沪深300(大盘/价值代理) 与 中证1000(成长代理) 月涨幅差，滞后1期
# 原始：stock_large_return - stock_growth_return；&gt;0 表示价值跑赢，与规范相反，乘以-1
close_large = hs300_close.resample('ME').last()  # 沪深300(000300.SH)-历史价格.xlsx
close_growth = csi1000_close.resample('ME').last()  # 中证1000(000852.SH)-历史价格.xlsx
ret_large = close_large.pct_change()
ret_growth = close_growth.pct_change()
# 翻转使 &gt;0 =&gt; growth
raw = (ret_large - ret_growth).shift(1) * (-1)
factor = calc_rolling_zscore(raw, window=24)  # 24个月≈2年</t>
  </si>
  <si>
    <t>B_factors/reference/working_multiple_factors_plan_completed_V071_V142 9.json</t>
  </si>
  <si>
    <t>priceFactors6</t>
  </si>
  <si>
    <t>2026-05-22T00:47:36.051011+00:00</t>
  </si>
  <si>
    <t>价值指数月涨幅 - 成长指数月涨幅，滞后1个月</t>
  </si>
  <si>
    <t>原始 condition 中 stock_large_return - stock_growth_return &gt;0 表示大盘（价值）跑赢，与规范方向相反，已乘以 -1 翻转。该因子为 LOGISTIC 模型的输入特征，单独无方向判断能力，此处仍输出连续值供模型使用。 本脚本使用 prepared_data 中的沪深300和中证1000历史价格文件，按月末收盘价计算月收益。</t>
  </si>
  <si>
    <t>价值指数月涨幅 - 成长指数月涨幅，滞后3个月</t>
  </si>
  <si>
    <t>与 V101 相同數據來源，滞后期为3个月。原始方向同樣与規範相反（price_large - price_growth &gt; 0 =&gt; value），已乘以 -1 翻转。 本脚本使用 prepared_data 中的沪深300和中证1000历史价格文件，按月末收盘价计算月收益。</t>
  </si>
  <si>
    <t>(价值风格成交金额 / 价值风格流通市值) / (成长风格成交金额 / 成长风格流通市值)</t>
  </si>
  <si>
    <t>growth_index.xlsx，日期['date']，换手率['turnover_rate']，成交额['amount']；value_index.xlsx，日期['date']，换手率['turnover_rate']，成交额['amount']</t>
  </si>
  <si>
    <t>原文公式为(价值成交金额/价值流通市值)/(成长成交金额/成长流通市值)，即价值换手率/成长换手率，&gt;1表示价值交投更活跃，方向应为&lt;=0 =&gt; growth。本处已取倒数减1做方向翻转（growth/value-1），使&gt;0对应成长信号。本地growth_index.xlsx和value_index.xlsx有turnover_rate和amount字段，可直接使用换手率代替(成交额/流通市值)比值。 本脚本使用 growth_index.xlsx/value_index.xlsx 的 turnover_rate 字段直接代理成交额/流通市值。</t>
  </si>
  <si>
    <t>log(沪深300收盘价/中证500收盘价)</t>
  </si>
  <si>
    <t>沪深300(000300.SH)-历史价格.xlsx，日期['交易日期']，收盘价['收盘价']；index_eod.parquet筛选Indexcd==000905，日期['Idxtrd01']，收盘价['Idxtrd05']</t>
  </si>
  <si>
    <t>原策略信号方向：log(HS300/ZZ500) &lt; 20日均线时偏成长（中证500&gt;沪深300相对强势，成长风格占优）。已将条件转为连续量：ma20 - log_ratio &gt; 0 对应 growth。中证500本地无独立文件，从index_eod.parquet中筛选Indexcd=000905获取。 本脚本使用 index_eod.parquet 的中证500收盘指数，并使用沪深300历史价格文件作为大盘/价值代理。</t>
  </si>
  <si>
    <t>沪深300过去20个交易日收益率 - 中证500过去20个交易日收益率</t>
  </si>
  <si>
    <t>研报原文为HS300-ZZ500收益率差，方向对应价值占优时为正。此处已取反（ZZ500-HS300），使&gt;0对应成长信号。用中证500近似代表成长风格（相对沪深300偏中小成长），与研报语境一致。 本脚本使用 index_eod.parquet 的中证500收盘指数，并使用沪深300历史价格文件作为大盘/价值代理。</t>
  </si>
  <si>
    <t>B_factors/reference/working_multiple_factors_plan_completed_V071_V142 10.json</t>
  </si>
  <si>
    <t>中证500周成交额 / 中证100周成交额</t>
  </si>
  <si>
    <t>index_eod.parquet 中筛选 Indexcd==000905 和 Indexcd==000903，日期['Idxtrd01']，成份证券成交金额['Idxtrd07']</t>
  </si>
  <si>
    <t>成交额字段使用 Idxtrd07（成份证券成交金额）；均线窗口M研报未明确，默认8周（短于价格窗口）；中证100用中证A100(000903)替代。 本脚本使用 index_eod.parquet 的 000905 和 000903 成份证券成交金额，按 W-FRI 汇总为周频。</t>
  </si>
  <si>
    <t>20130820-海通证券-3M基金投资产品系列之四：基于价量指标的市场风格轮动策略</t>
  </si>
  <si>
    <t>创业板相对主板强弱指数</t>
  </si>
  <si>
    <t>V097</t>
  </si>
  <si>
    <t># 创业板综指(399006)收盘价 / 沪深300(000300) 作为主板代理（本地无专属上证A股指数文件）
close_gem = gem_close  # 创业板指(399006.SZ)-历史价格.xlsx
close_main = hs300_close  # 沪深300(000300.SH)-历史价格.xlsx
ratio = close_gem / close_main
# 环比变化：比值上升=&gt;成长，下降=&gt;价值；保留连续差值
raw = ratio - ratio.shift(1)
factor = calc_rolling_zscore(raw, window=504)</t>
  </si>
  <si>
    <t>创业板综指收盘价 / 上证A股指数收盘价</t>
  </si>
  <si>
    <t>创业板指(399006.SZ)-历史价格.xlsx，日期['交易日期']，收盘价['收盘价']；沪深300(000300.SH)-历史价格.xlsx，日期['交易日期']，收盘价['收盘价']</t>
  </si>
  <si>
    <t>研报原文使用创业板综指/上证A股指数，但本地无上证A股专属文件，用沪深300作为主板代理（已有本地文件）；创业板为成长端，主板为价值端，比值环比上升=&gt;成长方向已内化。 本脚本使用 prepared_data 中的创业板指历史价格，并沿计划用沪深300作为主板代理。</t>
  </si>
  <si>
    <t>20140417-海通证券-量化资产配置：板块持仓测算在创业板风格轮动中的应用</t>
  </si>
  <si>
    <t>中证500指数收盘价 / 沪深300指数收盘价</t>
  </si>
  <si>
    <t>该因子为中间序列，单独信号方向未知（研报原文 signal_type=unknown），此处对比值与其年线偏离做 zscore 输出连续值；主要供 V099 使用。中证500代表成长，沪深300代表价值/大盘基准。 原计划 signal_type=unknown；本脚本按 notes 输出连续 zscore，并按 state 挂载/生成阈值信号。</t>
  </si>
  <si>
    <t>20150226-天天基金网-专题研究报告：如何构建风格轮动的指基投资策略</t>
  </si>
  <si>
    <t>先计算相对强弱指标（F001），再计算其10日简单移动平均减去30日简单移动平均</t>
  </si>
  <si>
    <t>均线差&gt;0表示成长（中证500）动量强于价值（沪深300），方向与规范一致，无需翻转。 本脚本复用中证500/沪深300相对强弱比值，计算10日均线减30日均线。</t>
  </si>
  <si>
    <t>价值成长相对强弱指数Rn</t>
  </si>
  <si>
    <t>V100</t>
  </si>
  <si>
    <t># Rn = log(价值指数) - log(成长指数)；原始方向 &gt;0=&gt;value，需乘以-1翻转
value_close = value_index_close  # A_data/data/style_indexes/value_index.xlsx
growth_close = growth_index_close  # A_data/data/style_indexes/growth_index.xlsx
log_ret_value = np.log(value_close).diff()
log_ret_growth = np.log(growth_close).diff()
# 原始 Rn = log_ret_value - log_ret_growth；&gt;0 =&gt; value（与规范相反）
raw = (log_ret_value - log_ret_growth) * (-1)  # 翻转：&gt;0 =&gt; growth
factor = calc_rolling_zscore(raw, window=504)</t>
  </si>
  <si>
    <t>申万价值指数收益率与申万成长指数收益率的对数差</t>
  </si>
  <si>
    <t>原始 Rn = 价值对数收益 - 成长对数收益，&gt;0表示价值跑赢（即 value 信号），与规范方向相反；已乘以 -1 翻转，使 &gt;0 =&gt; growth。国证成长(399370)/国证价值(399371)本地均有文件。 本脚本使用 growth_index.xlsx/value_index.xlsx 的 close 计算成长-价值对数收益差。</t>
  </si>
  <si>
    <t>20161123-申万宏源-基于风格轮动与BL模型的行业配置策略</t>
  </si>
  <si>
    <t>B_factors/reference/working_multiple_factors_plan_completed_V071_V142 11.json</t>
  </si>
  <si>
    <t>priceFactors7</t>
  </si>
  <si>
    <t>2026-05-22T01:00:33.719766+00:00</t>
  </si>
  <si>
    <t>sub_1=中证100指数每日振幅(最高价-最低价), sub_2=中证500指数每日振幅(最高价-最低价); 相对振幅=log(sub_1)-log(sub_2)</t>
  </si>
  <si>
    <t>index_eod.parquet中筛选Indexcd==000903(中证100)，日期['Idxtrd01']，最高价需从style_indexes补充（index_eod仅含收盘价，最高最低价需从style_indexes历史价格文件获取）；备选：中证1000(000852.SH)-历史价格.xlsx，['交易日期','最高点位','最低点位']参考格式</t>
  </si>
  <si>
    <t>index_eod.parquet字段中仅有Idxtrd05(收盘价)，不含最高/最低价。中证100(000903)和中证500(000905)本地无独立历史价格xlsx，建议从AIndexEODPrices.parquet或额外下载补充，或使用已有的中证1000(000852)-历史价格.xlsx字段格式作为参考。当前数据目录无法直接完整支持该因子，需人工确认数据来源。 本地 index_eod.parquet 无最高/最低价，本脚本使用中证100/中证500开盘指数与收盘指数的绝对差近似每日振幅。</t>
  </si>
  <si>
    <t>20101012-华泰联合-利用市场情绪把握风格轮动</t>
  </si>
  <si>
    <t>基于MACD思想，计算两种风格指数的周对数收益率差rr_i = ln(1+r1_i) - ln(1+r2_i)；计算rr_i的M周均值和N周均值的差得到DIF；再计算DIF的L周均值得DEA；最后RSW = DIF - DEA。参数M、N、L需通过优化确定。</t>
  </si>
  <si>
    <t>研报中sub_1对应价值风格、sub_2对应成长风格，RSW&gt;0表示价值强。此处将sub_1改为成长(399370)、sub_2改为价值(399371)，以保持 &gt;0 =&gt; growth 方向一致。参数M=12,N=26,L=9为MACD默认值，需优化。本地无上证50与中小板指，以国证成长/价值替代。 本脚本使用 growth_index.xlsx/value_index.xlsx 的 close，并采用 MACD 默认参数 M=12,N=26,L=9；因本地周频 RSW 有效点不足以支持504周标准化，改用104周窗口。</t>
  </si>
  <si>
    <t>20120627-国都证券-基于ETF的风格轮动策略</t>
  </si>
  <si>
    <t>对于每个行业，计算过去多个时间窗口内上涨个股的比例并进行平均以减少噪音。具体：上涨判定为当日收盘价大于前一日收盘价；对窗口长度w ∈ {18,19,20,21,22}，分别计算两个起始日偏移一天的原始涨跌比U1(w)和U2(w)，U1(w)为过去w个交易日上涨比例的滚动均值，U2(w)为将上涨标志序列滞后1天后再计算w日滚动均值；最终涨跌比 = 对所有窗口的 (U1+U2)/2 取平均。</t>
  </si>
  <si>
    <t>mktP.parquet，交易日期['Trddt']，股票代码['Stkcd']，复权收盘价['Adjprcwd']；AIndexHS300FreeWeight.parquet，指数代码['S_INFO_WINDCODE']，成分股['S_CON_WINDCODE']，日期['TRADE_DT']</t>
  </si>
  <si>
    <t>研报基于上证五个行业ETF成分股计算行业涨跌比，此处扩展为国证成长(399370)与国证价值(399371)成分股集合。改进算法旨在降低时间窗口起点变化带来的噪声。factor&gt;0表示成长成分股上涨比例更高，建议成长仓位。 本脚本复用 AIndexHS300FreeWeight.parquet 成分和 S_DQ_ADJCLOSE.parquet 复权收盘价宽表计算成长/价值成分股上涨比例。</t>
  </si>
  <si>
    <t>20130708-海通证券-华夏上证行业ETF风格轮动策略之三：基于涨跌比择时的绝对收益动量策略</t>
  </si>
  <si>
    <t>每个调仓日，对每个行业，用过去24周行业周收益率与HS300周收益率进行OLS回归，得到alpha和beta，计算最近n周的残差（实际收益率 - alpha - beta*市场收益率），再除以过去24周的残差标准差得到标准化残差，取最近n周标准化残差的均值。</t>
  </si>
  <si>
    <t>D_中信行业指数+恒生指数_CN_041231_260320.xlsx，日期['指标名称'行对应第一列为日期]，各行业收盘价['中信行业指数:计算机','中信行业指数:电子','中信行业指数:医药','中信行业指数:银行'等]；沪深300(000300.SH)-历史价格.xlsx，日期['交易日期']，收盘价['收盘价']</t>
  </si>
  <si>
    <t>原研报基于上证行业ETF，此处以中信行业指数替代（本地已有完整数据）。成长行业定义为：计算机/电子/医药/电力设备及新能源/传媒；价值行业定义为：银行/非银行金融/石油石化/煤炭/房地产。具体行业映射可根据实际需求调整。滚动OLS窗口=24周，标准化残差取最近n=4周均值。 本脚本使用 industry_indice.parquet 中信行业指数与沪深300历史价格，滚动24周 OLS，取最近4周标准化残差均值。</t>
  </si>
  <si>
    <t>20130710-海通证券-华夏上证行业ETF风格轮动策略之四：基于残差动量的相对收益动量策略</t>
  </si>
  <si>
    <t>中证500周收盘价 / 中证100周收盘价</t>
  </si>
  <si>
    <t>index_eod.parquet 中筛选 Indexcd==000905（中证500）和 Indexcd==000903（中证A100），日期['Idxtrd01']，收盘价['Idxtrd05']</t>
  </si>
  <si>
    <t>本地无中证100(000903)专属文件，用 index_eod.parquet 筛选 Indexcd==000903 代替；原始研报用周频，已对日频数据做周末重采样；均线窗口N研报未明确，默认12周。中证500代表成长，中证100代表价值，比值&gt;MA偏成长方向正确。 本脚本使用 index_eod.parquet 的中证500与中证A100(000903)收盘指数，按 W-FRI 周频计算12周均线偏离。</t>
  </si>
  <si>
    <t>B_factors/reference/working_multiple_factors_plan_completed_V071_V142 12.json</t>
  </si>
  <si>
    <t>过去20日年化夏普比率 = (过去20日平均收益 / 过去20日标准差) * sqrt(252)</t>
  </si>
  <si>
    <t>index_eod.parquet中筛选Indexcd=='399370'和'399371'，日期['Idxtrd01']，收盘价['Idxtrd05']</t>
  </si>
  <si>
    <t>研报为行业层面动量因子，IC为正。此处以国证成长vs国证价值过去20日年化夏普比率之差代替，正值代表成长风险调整后收益更优。 本脚本使用 index_eod.parquet 的国证成长/国证价值收盘指数计算20日年化夏普比率差。</t>
  </si>
  <si>
    <t>20241216-国金证券-跟踪资金流系列专题（二）：海外ETF资金流因子影响下的行业风格轮动策略，当前环境下如何日频跟踪外资聪明钱？</t>
  </si>
  <si>
    <t>巨潮成长指数近N日涨跌幅 / 巨潮价值指数近N日涨跌幅 (窗口N未明确，可能为6个月)</t>
  </si>
  <si>
    <t>本地无独立巨潮成长/价值指数，以国证成长(399370)/国证价值(399371)替代。窗口N未明确，取126交易日（约6个月）。原始研报计算为涨跌幅之比，此处改为差值形式以保持方向一致性（成长涨幅更大 =&gt; factor&gt;0 =&gt; 建议成长仓位）。 本脚本使用 growth_index.xlsx/value_index.xlsx 的 close，窗口N按计划取126个交易日。</t>
  </si>
  <si>
    <t>20090604-国泰君安-基于中国股市经验的两个行业与风格轮动规律</t>
  </si>
  <si>
    <t>过去三个月成长指数累计收益率 - 过去三个月价值指数累计收益率</t>
  </si>
  <si>
    <t>研报原始信号方向：成长近3月累计收益 - 价值近3月累计收益 &gt;0 =&gt; 持有价值（动量反转逻辑），与规范方向相反，故乘以-1翻转。3个月取63交易日。本地无独立申万成长/价值指数，以国证成长(399370)/国证价值(399371)替代。 本脚本使用 growth_index.xlsx/value_index.xlsx 的 close，3个月窗口取63个交易日，并按计划乘以-1体现反转方向。</t>
  </si>
  <si>
    <t>利用相对收益的对数形式定义。推测为累积成长指数对数收益率 - 累积价值指数对数收益率，或 ln(成长指数收盘价/价值指数收盘价)。公式图片缺失。</t>
  </si>
  <si>
    <t>本地无申万成长/价值指数日行情，以国证成长(399370)/国证价值(399371)替代。原始公式图片缺失，采用ln(成长/价值)作为相对强弱标准实现。交易信号通过均线穿越产生，此处保留连续值由下游决策。 本脚本使用 growth_index.xlsx/value_index.xlsx 的 close 计算 log(成长/价值) 并扣除252日均值。</t>
  </si>
  <si>
    <t>20100510-长城证券-量化投资系列之四：成长价值风格轮动的标识</t>
  </si>
  <si>
    <t>成长价值资金相对强弱指标</t>
  </si>
  <si>
    <t>V090</t>
  </si>
  <si>
    <t># sub_1=成长指数日成交额，sub_2=价值指数日成交额
# 从index_eod.parquet中筛选399370和399371的Idxtrd07(成交金额)
growth_amt = sub_1  # index_eod中Indexcd==399370的Idxtrd07
value_amt  = sub_2  # index_eod中Indexcd==399371的Idxtrd07
log_amt_rs = np.log(growth_amt / value_amt)
raw = log_amt_rs - log_amt_rs.rolling(252).mean()
factor = calc_rolling_zscore(raw, window=504)</t>
  </si>
  <si>
    <t>申万成长指数日成交额 ÷ 申万价值指数日成交额（具体公式图片缺失，可能取对数处理）</t>
  </si>
  <si>
    <t>index_eod.parquet中筛选Indexcd==399370和399371，日期['Idxtrd01']，成交金额['Idxtrd07']</t>
  </si>
  <si>
    <t>本地无申万成长/价值指数成交额，以国证成长(399370)/国证价值(399371)替代。原始公式图片缺失，采用log(成长成交额/价值成交额)去趋势实现。利用量为价先原理：成长资金占优 =&gt; factor&gt;0 =&gt; 建议成长仓位。 本脚本使用 index_eod.parquet 的国证成长/国证价值成份证券成交金额计算资金相对强弱。</t>
  </si>
  <si>
    <t>VIX指数变化率(75日)</t>
  </si>
  <si>
    <t>V081</t>
  </si>
  <si>
    <t>vix = vix_data['收盘价'].ffill()
raw = vix / vix.rolling(75).mean() - 1
# 原始方向：&gt;0 =&gt; value，需翻转
factor = calc_rolling_zscore(raw, window=504) * (-1)</t>
  </si>
  <si>
    <t>B_factors/reference/working_multiple_factors_plan_completed_V071_V142 13.json</t>
  </si>
  <si>
    <t>priceFactors8</t>
  </si>
  <si>
    <t>2026-05-22T01:15:08.215392+00:00</t>
  </si>
  <si>
    <t>当日VIX指数 / 过去75个交易日平均值 - 1</t>
  </si>
  <si>
    <t>VIX.GI-行情统计-20260509.xlsx，日期['交易日期']，收盘价['收盘价']</t>
  </si>
  <si>
    <t>原始研报方向：VIX变化率&gt;0 =&gt; value，&lt;0 =&gt; growth；condition中乘以-1翻转以符合规范。本地已确认存在VIX.GI数据文件，字段为收盘价。 本脚本使用 VIX.GI-行情统计-20260509.xlsx 的收盘价，并按计划显式 ffill 后计算75日变化率。</t>
  </si>
  <si>
    <t>20150605-海通证券-A股市场特征研究（三）：基于VIX指数的风格轮动</t>
  </si>
  <si>
    <t>CRB现货指数取对数后，经经验CDF逆正态变换标准化处理；基于expanding分位数信号</t>
  </si>
  <si>
    <t>macro_daily.parquet，日期索引，CRB现货指数综合['CRB现货指数:综合']</t>
  </si>
  <si>
    <t>本地已确认存在CRB现货指数_综合.xlsx，clean_data为macro_daily.parquet。原始信号方向：CRB高 =&gt; 物价高涨 =&gt; 利好沪深300(价值)，condition中乘以-1翻转。经验CDF+逆正态变换为兴业研报的标准化做法。 本脚本使用 macro_daily.parquet 的 CRB现货指数:综合，并按计划执行 expanding 经验CDF逆正态变换。</t>
  </si>
  <si>
    <t>12日收盘价格回归系数差分</t>
  </si>
  <si>
    <t>V083</t>
  </si>
  <si>
    <t>import numpy as np
# 以国证成长(399370)和国证价值(399371)指数为标的
close_g = index_eod.loc[index_eod['Indexcd'] == '399370', 'Idxtrd05'].ffill()
close_v = index_eod.loc[index_eod['Indexcd'] == '399371', 'Idxtrd05'].ffill()
def rolling_slope(series, window=12):
    slopes = series.copy() * np.nan
    for i in range(window - 1, len(series)):
        y = series.iloc[i - window + 1: i + 1].values
        x = np.arange(window)
        slopes.iloc[i] = np.polyfit(x, y, 1)[0]
    return slopes
slope_g = rolling_slope(close_g, 12)
slope_v = rolling_slope(close_v, 12)
diff_g = slope_g - slope_g.shift(1)
diff_v = slope_v - slope_v.shift(1)
raw = diff_g - diff_v
factor = calc_rolling_zscore(raw, window=504)</t>
  </si>
  <si>
    <t>收盘价对时间序列回归的斜率的一阶差分</t>
  </si>
  <si>
    <t>研报原文signal_rule未明确，IC为正推测因子值越高越有利于成长方向。这里以成长指数斜率差分减价值指数斜率差分构造相对动量，正值代表成长占优。计算复杂，建议向量化改写rolling_slope提升效率。 本脚本使用 index_eod.parquet 的国证成长/国证价值收盘指数，向量化计算12日滚动斜率差分。</t>
  </si>
  <si>
    <t>过去5日收益率（相较于行业均值）</t>
  </si>
  <si>
    <t>V084</t>
  </si>
  <si>
    <t># 使用国证成长(399370)和国证价值(399371)的5日收益率相对差
close_g = index_eod.loc[index_eod['Indexcd'] == '399370', 'Idxtrd05'].ffill()
close_v = index_eod.loc[index_eod['Indexcd'] == '399371', 'Idxtrd05'].ffill()
ret5_g = close_g.pct_change(5)
ret5_v = close_v.pct_change(5)
mean_ret5 = (ret5_g + ret5_v) / 2
sub_1 = ret5_g - mean_ret5
sub_2 = ret5_v - mean_ret5
raw = sub_1 - sub_2
factor = calc_rolling_zscore(raw, window=504)</t>
  </si>
  <si>
    <t>过去5日行业收益率 - 同期行业均值收益率</t>
  </si>
  <si>
    <t>研报原文针对行业层面的超额收益，IC为正代表近期相对强势的行业继续占优。此处以成长vs价值指数代替行业维度：计算成长指数5日收益率超额（相对成长+价值均值），正值代表成长短期动量占优。 本脚本使用 index_eod.parquet 的国证成长/国证价值收盘指数，按计划计算相对收益/收益差分。</t>
  </si>
  <si>
    <t>近20日收益率差分</t>
  </si>
  <si>
    <t>V085</t>
  </si>
  <si>
    <t>close_g = index_eod.loc[index_eod['Indexcd'] == '399370', 'Idxtrd05'].ffill()
close_v = index_eod.loc[index_eod['Indexcd'] == '399371', 'Idxtrd05'].ffill()
ret20_g = close_g.pct_change(20)
ret20_v = close_v.pct_change(20)
diff_g = ret20_g - ret20_g.shift(1)
diff_v = ret20_v - ret20_v.shift(1)
raw = diff_g - diff_v
factor = calc_rolling_zscore(raw, window=504)</t>
  </si>
  <si>
    <t>近20日收益率的一阶差分</t>
  </si>
  <si>
    <t>研报为行业层面微观动量因子，IC为正。此处以成长vs价值指数的近20日收益率一阶差分之差代替，正值代表成长方向近期动量加速占优。 本脚本使用 index_eod.parquet 的国证成长/国证价值收盘指数，按计划计算相对收益/收益差分。</t>
  </si>
  <si>
    <t>B_factors/reference/working_multiple_factors_plan_completed_V071_V142 15.json</t>
  </si>
  <si>
    <t>计算成长指数与价值指数换手率之比，取滚动90日均值，然后计算该值相对过去2年的分位数。每日观察：若分位数&lt;5%，且过去15日成长相对价值收益为正，则看好成长；若分位数&gt;95%，且过去15日价值相对成长收益为正，则看好价值；否则无信号。</t>
  </si>
  <si>
    <t>成长指数日期['date']，换手率['turnover_rate']，收盘价['close']；价值指数日期['date']，换手率['turnover_rate']，收盘价['close']</t>
  </si>
  <si>
    <t>本地缺少申万成长价值指数换手率，以国证成长(399370)和国证价值(399371)替代。对分位数偏离幅度和动量分别zscore后相乘作为强度，避免对稀疏序列整体zscore；条件不满足时 factor=0（无信号）；zscore窗口504≈2年。 本脚本使用本地成长/价值或中证全指 prepared 指数文件中的换手率字段。</t>
  </si>
  <si>
    <t>60日平均换手率 / 前一期60日平均换手率 - 1</t>
  </si>
  <si>
    <t>8841388.WI_windallA.xlsx，日期['交易日期']，换手率['换手率']</t>
  </si>
  <si>
    <t>情绪类因子，IC为负，权重-50%；原始换手率加速上升对应拥挤/价值，取负号后统一方向；zscore消除量纲。 本脚本使用 8841388.WI_windallA.xlsx 的换手率代理全市场换手率。</t>
  </si>
  <si>
    <t>20241216-国金证券-跟踪资金流系列专题（二）：海外ETF资金流因子影响下的行业风格轮动策略，当前环境下如何日频跟踪外资"聪明钱"？</t>
  </si>
  <si>
    <t>当上证A股换手率创半年新高时触发事件</t>
  </si>
  <si>
    <t>原始研报要求上证A股换手率，本地以Wind全A(8841388.WI)代理；raw&gt;0表示突破半年新高（成长信号），raw&lt;0表示仍低于半年高点（偏价值/中性）；shift(1)避免当日自比；zscore统一量纲。 本脚本使用 8841388.WI_windallA.xlsx 的换手率代理全市场换手率。</t>
  </si>
  <si>
    <t>过去60个交易日平均换手率，阈值1%</t>
  </si>
  <si>
    <t>换手率以Wind全A(8841388.WI)代理全市场；阈值1.0来自研报（原文1%）；raw = ma60 - 1.0保留连续偏离幅度，zscore统一量纲。 本脚本使用 8841388.WI_windallA.xlsx 的换手率代理全市场换手率。</t>
  </si>
  <si>
    <t>过去一个月中证500日均换手率 - 沪深300日均换手率</t>
  </si>
  <si>
    <t>中证500：index_eod.parquet中筛选Indexcd==000905，日期['Idxtrd01']，换手率['换手率']；沪深300：沪深300(000300.SH)-历史价格.xlsx，日期['交易日期']，换手率['换手率']</t>
  </si>
  <si>
    <t>中证500从index_eod.parquet(Indexcd=000905)取换手率；raw为两指数月均换手率之差，保留连续幅度信息；zscore统一量纲。 本脚本使用 index_eod.parquet 的指数换手率/收盘指数，并在需要时搭配沪深300历史价格。</t>
  </si>
  <si>
    <t>B_factors/reference/working_multiple_factors_plan_completed_V071_V142 14.json</t>
  </si>
  <si>
    <t>中证全指近20个交易日换手率的算术平均值</t>
  </si>
  <si>
    <t>中证全指(000985.CSI)-历史价格.xlsx，日期['交易日期']，换手率['换手率']</t>
  </si>
  <si>
    <t>阈值1.1来自研报；raw = ma20 - 1.1保留连续偏离幅度；zscore统一量纲，换手率单位与原始数据一致（%）。 本脚本使用本地成长/价值或中证全指 prepared 指数文件中的换手率字段。</t>
  </si>
  <si>
    <t>20200825-申万宏源-ETF量化配置策略研究系列之一：运用富国基金ETF产品捕获行业风格轮动</t>
  </si>
  <si>
    <t>wind全A换手率相对趋势</t>
  </si>
  <si>
    <t>V077</t>
  </si>
  <si>
    <t># sub_1 = Wind全A换手率（日频）
# 研报原始：偏差&gt;0 =&gt; 拥挤 =&gt; 价值防御，取负号后 factor&gt;0 对应成长
deviation = sub_1 - sub_1.rolling(window=15).mean()
raw = deviation * (-1)
factor = calc_rolling_zscore(raw, window=504)</t>
  </si>
  <si>
    <t>wind全A指数换手率减去其过去15日均值</t>
  </si>
  <si>
    <t>研报原始方向：换手率高于近期均值代表拥挤偏价值；取负号翻转后 factor&gt;0 对应成长；zscore统一量纲。 本脚本使用 8841388.WI_windallA.xlsx 的换手率代理全市场换手率。</t>
  </si>
  <si>
    <t>每月底计算万得全A滚动21个交易日平均换手率，再计算该均值在过去2年的滚动历史分位数</t>
  </si>
  <si>
    <t>万得全A换手率以本地8841388.WI_windallA.xlsx代理；月底频率可通过resample('BME').last()实现；raw = quantile_rank - 0.5保留连续偏离幅度；zscore统一量纲。 本脚本使用 8841388.WI_windallA.xlsx 的换手率代理全市场换手率。</t>
  </si>
  <si>
    <t>换手率因子</t>
  </si>
  <si>
    <t>V079</t>
  </si>
  <si>
    <t>sub_1 = index_eod.loc[index_eod['Indexcd'] == '000985', '换手率'].ffill()
short_ma = sub_1.rolling(5).mean()
long_ma = sub_1.rolling(250).mean()
raw = short_ma - long_ma
factor = calc_rolling_zscore(raw, window=504)</t>
  </si>
  <si>
    <t>全市场换手率，使用5日和250日均线判断趋势</t>
  </si>
  <si>
    <t>index_eod.parquet中筛选Indexcd=='000985'，日期['Idxtrd01']，换手率['换手率']</t>
  </si>
  <si>
    <t>可用中证全指换手率作为全市场换手率的替代。原始信号方向：short_ma &gt; long_ma =&gt; growth，与规范一致，无需翻转。 本脚本使用 index_eod.parquet 的指数换手率/收盘指数，并在需要时搭配沪深300历史价格。</t>
  </si>
  <si>
    <t>上证50指数滚动20日收益率方差变化率</t>
  </si>
  <si>
    <t>V080</t>
  </si>
  <si>
    <t>close_50 = index_eod.loc[index_eod['Indexcd'] == '000016', 'Idxtrd05'].ffill()
ret = close_50.pct_change()
var_20 = ret.rolling(20).var()
raw = var_20 / var_20.shift(20) - 1
# 原始方向：&gt;0 =&gt; value，需翻转
factor = calc_rolling_zscore(raw, window=504) * (-1)</t>
  </si>
  <si>
    <t>计算上证50指数过去20个交易日日收益率方差，当前方差除以前一个20日方差减1</t>
  </si>
  <si>
    <t>index_eod.parquet中筛选Indexcd=='000016'，日期['Idxtrd01']，收盘价['Idxtrd05']</t>
  </si>
  <si>
    <t>原始研报方向：方差变化率&gt;0 =&gt; value，&lt;0 =&gt; growth；condition中乘以-1翻转以符合规范。index_eod.parquet含上证50(000016)数据已确认。 本脚本使用 index_eod.parquet 的指数换手率/收盘指数，并在需要时搭配沪深300历史价格。</t>
  </si>
  <si>
    <t>B_factors/reference/working_multiple_factors_plan_completed_V143_V150.json</t>
  </si>
  <si>
    <t>records</t>
  </si>
  <si>
    <t>priceFactors9</t>
  </si>
  <si>
    <t>2026-05-22T01:25:11.485251+00:00</t>
  </si>
  <si>
    <t>根据10年期国债收益率的走势划分利率上行和下行阶段。在利率上行阶段，配置低PB行业，即PB因子取负向（低PB排名高）；在利率下行阶段，配置高PB行业，即PB因子取正向（高PB排名高）。具体：计算行业PB_LF的z-score或排名，在利率上行时乘以-1，在利率下行时乘以1，得到估值调节因子值。</t>
  </si>
  <si>
    <t>D_国债到期收益率_CN_020104_260409.xlsx[中债国债到期收益率:10年]；pb.parquet[TRADE_DT, 各股票代码列（宽表，需按行业成分聚合为行业PB_LF加权均值）]</t>
  </si>
  <si>
    <t>因子方向随利率环境变化：利率下行时高PB对应成长（因子&gt;0），利率上行时低PB对应价值（因子&lt;0），已通过direction*pb_z完成方向统一。行业PB_LF需用pb.parquet按行业成分股聚合；若直接使用行业指数估值，可替换为对应行业指数PE-PB文件。sub_1为10年期国债收益率，sub_2为行业PB_LF的截面z-score。 本脚本使用成长指数PB_LF减价值指数PB_LF作为风格PB溢价代理，再乘以10年国债收益率日变化方向。</t>
  </si>
  <si>
    <t>市盈率差分</t>
  </si>
  <si>
    <t>V144</t>
  </si>
  <si>
    <t># sub_1: 成长指数市盈率TTM
# PE上升 =&gt; 市场给予更高估值溢价 =&gt; 偏成长；PE下降 =&gt; 偏价值
raw = sub_1 - sub_1.shift(1)
factor = calc_rolling_zscore(raw, window=504)</t>
  </si>
  <si>
    <t>市盈率的一阶差分</t>
  </si>
  <si>
    <t>D_PE+PB+DI+PS+PC+调仓_growth_100104_260325.xlsx[交易日期, 市盈率TTM]</t>
  </si>
  <si>
    <t>研报描述为'市盈率差分'，IC为正、权重50%，用于成长/价值风格轮动中的微观预期类因子。本地使用成长指数(国证成长对应比价文件)的市盈率TTM做一阶差分。若因子针对全市场或沪深300，可替换为000300.SH-历史PE-PB-20260509.xlsx中的市盈率TTM。原始IC为正，方向与规范一致（PE上升利好成长），无需翻转。 本脚本使用本地成长/价值风格指数估值文件的日频估值字段。</t>
  </si>
  <si>
    <t>20241216-国金证券-跟踪资金流系列专题（二）：海外ETF资金流因子影响下的行业风格轮动策略，当前环境下如何日频跟踪外资'聪明钱'？</t>
  </si>
  <si>
    <t>市净率水平值</t>
  </si>
  <si>
    <t>D_PE+PB+DI+PS+PC+调仓_growth_100104_260325.xlsx[交易日期, 市净率LF]</t>
  </si>
  <si>
    <t>研报注明IC为负、权重-50%，意味着PB高对应价值风格；按规范&gt;0=成长需乘-1翻转。使用成长指数PB水平值的rolling zscore后取反。如需使用个股截面PB，可改用data/比价/pb.parquet中的成长指数成分股PB加权均值。 本脚本使用本地成长/价值风格指数估值文件的日频估值字段。</t>
  </si>
  <si>
    <t>市销率变化（行业中性化）</t>
  </si>
  <si>
    <t>V146</t>
  </si>
  <si>
    <t># sub_1: 成长指数市销率TTM；sub_2: 价值指数市销率TTM（作为行业均值参照）
# 行业中性化：PS - industry_mean；再做一阶差分
# IC为正，方向与规范一致
ps_growth_adj = sub_1 - sub_2  # 成长相对价值的超额市销率
raw = ps_growth_adj - ps_growth_adj.shift(1)
factor = calc_rolling_zscore(raw, window=504)</t>
  </si>
  <si>
    <t>市销率减去行业均值后的差分</t>
  </si>
  <si>
    <t>D_PE+PB+DI+PS+PC+调仓_growth_100104_260325.xlsx[交易日期, 市销率TTM]；D_PE+PB+DI+PS+PC+调仓_value_100104_260325.xlsx[交易日期, 市销率TTM]</t>
  </si>
  <si>
    <t>研报指行业中性化PS变化，IC为正权重50%。本地以成长/价值指数市销率TTM之差替代行业中性化处理，再做一阶差分。若需个股截面PS数据，可用Astockdaily.parquet中的PS字段按成分股聚合。原始IC为正，方向与&gt;0=成长规范一致，无需翻转。 本脚本使用本地成长/价值风格指数估值文件的日频估值字段。</t>
  </si>
  <si>
    <t>沪深300指数市盈率</t>
  </si>
  <si>
    <t>000300.SH-历史PE-PB-20260509.xlsx[交易日期, 市盈率TTM]</t>
  </si>
  <si>
    <t>本地有000300.SH-历史PE-PB-20260509.xlsx，包含沪深300完整估值序列，字段市盈率TTM直接对应sub_1。PE绝对水平越高，市场整体给予成长溢价越高，因子正向与&gt;0=成长规范一致。注：原records中docu为'000300.SH-历史PE-PB-20260509.xlsx'，已补全为完整相对路径。 本脚本使用本地沪深300历史PE-PB文件的市盈率TTM字段。</t>
  </si>
  <si>
    <t>成长风格指数市盈率减去价值风格指数市盈率</t>
  </si>
  <si>
    <t>D_PE+PB+DI+PS+PC+调仓_growth_100104_260325.xlsx[交易日期, 市盈率TTM]；D_PE+PB+DI+PS+PC+调仓_value_100104_260325.xlsx[交易日期, 市盈率TTM]</t>
  </si>
  <si>
    <t>成长指数PE高于价值指数PE时差值&gt;0，对应成长风格占优，与规范一致。成长/价值估值文件已在本地数据库确认，路径data/比价/下。原records中data_field字段标注为'growth_pe, value_pe'，现已更新为规范格式。 本脚本使用本地成长/价值风格指数估值文件的日频估值字段。</t>
  </si>
  <si>
    <t>成长风格指数市净率减去价值风格指数市净率</t>
  </si>
  <si>
    <t>D_PE+PB+DI+PS+PC+调仓_growth_100104_260325.xlsx[交易日期, 市净率LF]；D_PE+PB+DI+PS+PC+调仓_value_100104_260325.xlsx[交易日期, 市净率LF]</t>
  </si>
  <si>
    <t>PB差与PE差同逻辑：成长指数PB高于价值指数PB时&gt;0，对应成长溢价，方向与规范一致。本地比价文件均有市净率LF字段。原records中data_field标注为'growth_pb, value_pb'，现已更新为规范格式。 本脚本使用本地成长/价值风格指数估值文件的日频估值字段。</t>
  </si>
  <si>
    <t>价值股PE - 成长股PE，然后标准化</t>
  </si>
  <si>
    <t>D_PE+PB+DI+PS+PC+调仓_value_100104_260325.xlsx[交易日期, 市盈率TTM]；D_PE+PB+DI+PS+PC+调仓_growth_100104_260325.xlsx[交易日期, 市盈率TTM]</t>
  </si>
  <si>
    <t>研报原始定义为'价值PE - 成长PE'，signal_rule为&gt;0=growth，表示价值PE高于成长PE时市场倾向成长（价值相对估值高意味着成长股性价比更好），方向与规范一致无需翻转。window_z建议取504（约2交易年）。本地比价文件已确认，原data_field缺失已补全。 本脚本使用本地成长/价值风格指数估值文件的日频估值字段。</t>
  </si>
  <si>
    <t>B_factors/reference/working_multiple_factors_plan_completed_V151_V158.json</t>
  </si>
  <si>
    <t>价值股PB - 成长股PB，然后标准化</t>
  </si>
  <si>
    <t>D_PE+PB+DI+PS+PC+调仓_value_100104_260325.xlsx，日期['交易日期']，市净率['市净率LF']；D_PE+PB+DI+PS+PC+调仓_growth_100104_260325.xlsx，日期['交易日期']，市净率['市净率LF']</t>
  </si>
  <si>
    <t>原始方向：价值PB - 成长PB &gt;0 时表示价值估值更高、市场相对偏好成长，与规范方向一致（&gt;0 =&gt; growth），无需翻转。优先使用市净率LF字段；若该字段有缺失可改用市净率LF加权。 本脚本使用本地成长/价值风格指数估值文件的日频估值字段。</t>
  </si>
  <si>
    <t>各行业静态PE的标准差 / 各行业静态PE的均值</t>
  </si>
  <si>
    <t>pe.parquet，日期['TRADE_DT']，个股PE（宽表，列为股票代码）；Astockdaily.parquet，股票代码['Symbol']，行业分类字段（用于映射申万行业，需确认具体字段名）</t>
  </si>
  <si>
    <t>本地无直接的行业PE汇总数据，需从个股pe.parquet宽表 + 行业分类自行聚合。信号方向不明确，研报未说明变异系数高低与风格的关系；此处保留原始值（rolling zscore后），由下游SVM/模型自行学习方向。若后续验证发现方向需翻转，在condition末尾乘以-1。 Astockdaily.parquet 当前无行业分类字段，本脚本使用本地五个行业/宽基指数PE-PB文件的截面变异系数作为行业估值离散度代理。</t>
  </si>
  <si>
    <t>行业PB变异系数</t>
  </si>
  <si>
    <t>V153</t>
  </si>
  <si>
    <t># 按申万一级行业分组，计算截面PB变异系数
# pb_panel: 宽表，行=TRADE_DT，列=个股代码，值=PB
industry_pb = pb_panel.groupby(industry_map, axis=1)
cv_series = (industry_pb.std(axis=1) / industry_pb.mean(axis=1))
raw = cv_series.mean(axis=1)  # 全市场行业PB变异系数
factor = calc_rolling_zscore(raw, window=504)</t>
  </si>
  <si>
    <t>各行业静态PB的标准差 / 各行业静态PB的均值</t>
  </si>
  <si>
    <t>pb.parquet，日期['TRADE_DT']，个股PB（宽表，列为股票代码）；Astockdaily.parquet，股票代码['Symbol']，行业分类字段</t>
  </si>
  <si>
    <t>同V152，信号方向不明确，保留原始值等模型学习。研报指出PB变异系数效果不如PE变异系数。数据构建方式与V152相同，仅将pe.parquet替换为pb.parquet。 Astockdaily.parquet 当前无行业分类字段，本脚本使用本地五个行业/宽基指数PE-PB文件的截面变异系数作为行业估值离散度代理。</t>
  </si>
  <si>
    <t>收益差（低PB-高PB）</t>
  </si>
  <si>
    <t>V154</t>
  </si>
  <si>
    <t># 构建高低PB分组：每月末按PB分位数分成高PB（前30%）和低PB（后30%）组合
# pb_panel: 宽表，行=TRADE_DT，列=个股，值=PB
# price_panel: 宽表，行=TRADE_DT，列=个股，值=收盘价（复权）
pb_rank = pb_panel.rank(axis=1, pct=True)  # 截面分位数
low_pb_mask  = pb_rank &lt;= 0.3
high_pb_mask = pb_rank &gt;= 0.7
stock_ret = price_panel.pct_change()  # 个股日收益率
low_pb_ret  = stock_ret[low_pb_mask].mean(axis=1)   # 低PB等权组合收益
high_pb_ret = stock_ret[high_pb_mask].mean(axis=1)  # 高PB等权组合收益
raw = low_pb_ret - high_pb_ret  # 低PB超额收益
# 原始系数-0.01，即低PB-高PB &gt;0 对应value占优，方向与规范相反，乘以-1
factor = calc_rolling_zscore(raw, window=504) * (-1)</t>
  </si>
  <si>
    <t>低PB组合收益率 - 高PB组合收益率</t>
  </si>
  <si>
    <t>pb.parquet，日期['TRADE_DT']，个股PB（宽表，列为股票代码）；S_DQ_ADJCLOSE.parquet，日期['TRADE_DT']，个股复权收盘价（宽表，列为股票代码）</t>
  </si>
  <si>
    <t>原始系数-0.01表示低PB-高PB收益差与成长/价值轮动负相关，即低PB超额&gt;0时对应value占优，需乘以-1翻转。高低PB组合分组方式参考海通原报，采用等权组合；实际分组阈值（30%/70%）可根据需要调整。 本脚本使用 pb.parquet、pe.parquet 与 S_DQ_ADJCLOSE.parquet 宽表，按每日PB截面30%/70%分位构建低PB/高PB等权组合。</t>
  </si>
  <si>
    <t>低PB组合过去一个月收益率</t>
  </si>
  <si>
    <t>原始系数-0.13（绝对值较大），低PB动量强时value占优，需乘以-1翻转。低PB组合分组同V154，window=20对应1个月。 本脚本使用 pb.parquet、pe.parquet 与 S_DQ_ADJCLOSE.parquet 宽表，按每日PB截面30%/70%分位构建低PB/高PB等权组合。</t>
  </si>
  <si>
    <t>高PB组合过去一个月收益率</t>
  </si>
  <si>
    <t>原始系数+0.07，高PB动量强时growth占优，方向与规范一致，无需翻转。高PB组合分组同V154（截面前30%）。 本脚本使用 pb.parquet、pe.parquet 与 S_DQ_ADJCLOSE.parquet 宽表，按每日PB截面30%/70%分位构建低PB/高PB等权组合。</t>
  </si>
  <si>
    <t>低PB组合PE - 高PB组合PE</t>
  </si>
  <si>
    <t>pb.parquet，日期['TRADE_DT']，个股PB（宽表，列为股票代码）；pe.parquet，日期['TRADE_DT']，个股PE（宽表，列为股票代码）</t>
  </si>
  <si>
    <t>原始系数-0.02，PE差&gt;0对应value占优，乘以-1翻转方向。通常低PB股的PE不一定低于高PB股，差值方向依市场环境而定；分组方式与V154一致。 本脚本使用 pb.parquet、pe.parquet 与 S_DQ_ADJCLOSE.parquet 宽表，按每日PB截面30%/70%分位构建低PB/高PB等权组合。</t>
  </si>
  <si>
    <t>成长指数市盈率 - 价值指数市盈率</t>
  </si>
  <si>
    <t>D_PE+PB+DI+PS+PC+调仓_growth_100104_260325.xlsx，日期['交易日期']，市盈率['市盈率TTM']；D_PE+PB+DI+PS+PC+调仓_value_100104_260325.xlsx，日期['交易日期']，市盈率['市盈率TTM']</t>
  </si>
  <si>
    <t>研报阈值27.05为2003年以来历史均值，原始方向：成长PE - 价值PE &gt; 27.05 =&gt; value（相对贵时回归价值），与规范方向相反，condition末尾乘以-1翻转。此处将静态阈值27.05内化为偏离中心值，实际运行时建议改用expanding均值替代固定值以适应样本外。可选替代数据：data/update/目录下的成长/价值相关指数估值文件（如有更新）。 本脚本使用本地成长/价值风格指数估值文件的日频估值字段。</t>
  </si>
  <si>
    <t>B_factors/reference/working_multiple_factors_plan_completed_V159_V166.json</t>
  </si>
  <si>
    <t>priceFactors10</t>
  </si>
  <si>
    <t>2026-05-22T01:41:13.931171+00:00</t>
  </si>
  <si>
    <t>使用市场整体市盈率（如沪深300市盈率）水平值，滞后1期。</t>
  </si>
  <si>
    <t>881001.WI-历史PE-PB-20260518.xlsx，日期['交易日期']，市盈率TTM['市盈率TTM']</t>
  </si>
  <si>
    <t>研报用Wind全A（881001.WI）市盈率，本地有该文件。系数为正代表PE越高越利好成长，直接对TTM市盈率滞后1期做zscore输出连续值；研报无具体阈值，依赖模型学习方向。 本脚本使用 Wind全A 881001.WI 历史PE-PB文件的市盈率TTM字段。</t>
  </si>
  <si>
    <t>成长指数滚动市盈率 - 价值指数滚动市盈率（价值=沪深300，成长=中证1000）</t>
  </si>
  <si>
    <t>D_PE+PB+DI+PS+PC+调仓_growth_100104_260325.xlsx，日期['交易日期']，市盈率TTM['市盈率TTM']；000300.SH-历史PE-PB-20260509.xlsx，日期['交易日期']，市盈率TTM['市盈率TTM']</t>
  </si>
  <si>
    <t>研报成长指数=中证1000，价值指数=沪深300；本地有D_PE+PB+DI+PS+PC+调仓_growth文件对应国证成长估值，作为成长指数代理；沪深300PE用000300文件。差值越大即成长估值溢价越高，正值偏成长。 本脚本使用本地成长指数估值文件代理成长端，沪深300估值文件代理价值端。</t>
  </si>
  <si>
    <t>成长指数市净率 - 价值指数市净率</t>
  </si>
  <si>
    <t>D_PE+PB+DI+PS+PC+调仓_growth_100104_260325.xlsx，日期['交易日期']，市净率LF['市净率LF']；000300.SH-历史PE-PB-20260509.xlsx，日期['交易日期']，市净率LF['市净率LF']</t>
  </si>
  <si>
    <t>同V160，用国证成长估值文件代理成长指数PB，沪深300代理价值指数PB；PB差值越大正值利好成长。 本脚本使用本地成长指数估值文件代理成长端，沪深300估值文件代理价值端。</t>
  </si>
  <si>
    <t>log(沪深300PE_TTM / 中证500PE_TTM)</t>
  </si>
  <si>
    <t>000300.SH-历史PE-PB-20260509.xlsx，日期['交易日期']，市盈率TTM['市盈率TTM']；000905.SH-历史PE-PB-20260509.xlsx，日期['交易日期']，市盈率TTM['市盈率TTM']</t>
  </si>
  <si>
    <t>原策略：log(HS300PE/ZZ500PE) &lt; 20日均线时偏成长，因此方向与规范相反，condition中乘以-1翻转。额外要求乖离率绝对值&lt;10%，本实现保留连续值，下游可按需加乖离率过滤。 本脚本使用沪深300与中证500历史PE-PB文件的市盈率TTM字段。</t>
  </si>
  <si>
    <t>全A股PE_TTM的最新值 &gt; 过去6个月的滚动最大值</t>
  </si>
  <si>
    <t>事件型因子：PE创6个月新高触发偏成长信号。按模板规范转为幅度连续值：对PE和滚动最大值分别zscore后作差，超越时输出正值利好成长，未超越时输出负值。6个月约126个交易日。 本脚本使用 Wind全A 881001.WI 历史PE-PB文件的市盈率TTM字段。 为遵守项目 event 因子规则，未创6个月新高的日期保持 NaN，不作为负向事件挂载。</t>
  </si>
  <si>
    <t>VAL_EP_BiasL因子比率（成长/价值）</t>
  </si>
  <si>
    <t>V164</t>
  </si>
  <si>
    <t># EP = 1/PE（市盈率倒数），BiasL=长期偏差（当前EP相对历史均值的偏离）
# 成长EP_BiasL / 价值EP_BiasL，比率&gt;1代表成长估值修复空间更大（利好成长）
# 用国证成长/国证价值文件PE合成EP后计算长期偏差
pe_growth = growth_pe['市盈率TTM']
pe_value  = value_pe['市盈率TTM']
ep_growth = 1.0 / pe_growth
ep_value  = 1.0 / pe_value
# BiasL: 当前值相对2年滚动均值的偏差
ep_growth_biasL = ep_growth - ep_growth.rolling(504).mean()
ep_value_biasL  = ep_value  - ep_value.rolling(504).mean()
# 比率转差值避免除法不稳定，正值代表成长EP偏差更大（更低估）
ep_growth_z = calc_rolling_zscore(ep_growth_biasL, window=504)
ep_value_z  = calc_rolling_zscore(ep_value_biasL,  window=504)
factor = ep_growth_z - ep_value_z</t>
  </si>
  <si>
    <t>估值因子EP的长期偏差，成分股合成后取成长/价值比率</t>
  </si>
  <si>
    <t>D_PE+PB+DI+PS+PC+调仓_growth_100104_260325.xlsx，日期['交易日期']，市盈率TTM['市盈率TTM']；D_PE+PB+DI+PS+PC+调仓_value_100104_260325.xlsx，日期['交易日期']，市盈率TTM['市盈率TTM']</t>
  </si>
  <si>
    <t>EP=1/PE。BiasL定义为当前EP相对2年滚动均值的偏差（低估信号）。本实现以国证成长/国证价值估值文件代理成长/价值成分股合成EP，避免个股数据合成的复杂度；比率改为差值形式以规避除零风险。 本脚本使用本地成长/价值风格估值文件的市盈率TTM字段合成EP。</t>
  </si>
  <si>
    <t>估值因子EP_TTM（市盈率TTM倒数），成分股合成后取成长/价值比率</t>
  </si>
  <si>
    <t>EP_TTM = 1/PE_TTM。正值（成长EP更高）代表成长相对低估，利好成长持仓。比率改差值形式避免除零风险；与V164的区别在于不做长期偏差处理，直接使用EP_TTM水平值之差。 本脚本使用本地成长/价值风格估值文件的市盈率TTM字段合成EP。</t>
  </si>
  <si>
    <t>中证500PE - 沪深300PE</t>
  </si>
  <si>
    <t>000905.SH-历史PE-PB-20260509.xlsx，日期['交易日期']，市盈率TTM['市盈率TTM']；000300.SH-历史PE-PB-20260509.xlsx，日期['交易日期']，市盈率TTM['市盈率TTM']</t>
  </si>
  <si>
    <t>研报明确指出该因子效果不佳、方向不确定。本实现按常规逻辑：ZZ500PE-HS300PE差值越大代表中小盘估值溢价越高，正值对应偏成长方向。建议在合成时降低该因子权重或做标记。 本脚本使用沪深300与中证500历史PE-PB文件的市盈率TTM字段。</t>
  </si>
  <si>
    <t>B_factors/reference/working_multiple_factors_plan_completed_V167_V174.json</t>
  </si>
  <si>
    <t>申万价值指数 PB / 申万成长指数 PB</t>
  </si>
  <si>
    <t>801811.SI-历史PE-PB-20260509.xlsx，日期['交易日期']，市净率LF['市净率LF']（作为价值PB近似）；801813.SI-历史PE-PB-20260509.xlsx，日期['交易日期']，市净率LF['市净率LF']（作为成长PB近似）</t>
  </si>
  <si>
    <t>本地无申万成长/价值风格指数估值文件。以申万大盘指数(801811)近似价值、申万小盘指数(801813)近似成长，作为可落地替代方案。若后续补充申万成长价值专属估值文件应优先替换。研报方向：估值比高位 =&gt; 成长，故 raw = value_pb / growth_pb，zscore 后正值对应成长，符合规范。 本脚本使用申万大盘801811近似价值、申万小盘801813近似成长。</t>
  </si>
  <si>
    <t>小市值组PB中位数除以大市值组PB中位数。小市值组为市值最小的10%股票，大市值组为市值最大的10%股票。</t>
  </si>
  <si>
    <t>pb.parquet，日期['TRADE_DT']，各列为个股PB值（列名为股票代码，如'000001.SZ'）；Astockdaily.parquet，日期['TradingDate']，股票代码['Symbol']，流通市值['CirculatedMarketValue']，用于按流通市值分组</t>
  </si>
  <si>
    <t>本地 pb.parquet 为宽表（个股 PB），流通市值来自 Astockdaily.parquet。方向与规范相反（原始价差高 =&gt; value），已在 condition 末乘 -1 翻转。研报阈值历史极值 2.64/0.43 仅供参考，zscore 已内化分位偏离信息。 本脚本使用 pb.parquet 个股PB宽表，并用 Astockdaily.parquet 的流通市值按每日截面10%/90%分组。</t>
  </si>
  <si>
    <t>沪深300整体法PB-中证全指整体法PB，滚动3年80%和20%分位数作为顶底阈值，从极端回落/回升时发出信号</t>
  </si>
  <si>
    <t>000300.SH-历史PE-PB-20260509.xlsx，日期['交易日期']，市净率LF['市净率LF']（sub_HS300_PB）；000985.CSI-历史PE-PB-20260509.xlsx，日期['交易日期']，市净率LF['市净率LF']（sub_ZQZ_PB）</t>
  </si>
  <si>
    <t>因子为稀疏型（大多数日期无触发），按规范 2.5 对输入变量分别做 zscore 后组合，而非对稀疏输出整体 zscore。滚动窗口756交易日≈3年，与研报一致。 本脚本使用本地指数历史PE-PB文件的市净率LF字段。</t>
  </si>
  <si>
    <t>中证2000整体法PB-中证全指整体法PB，滚动3年80%和20%分位数作为顶底阈值，从极端回落/回升时发出信号</t>
  </si>
  <si>
    <t>932000.CSI-历史PE-PB-20260509.xlsx，日期['交易日期']，市净率LF['市净率LF']（sub_ZZ2000_PB）；000985.CSI-历史PE-PB-20260509.xlsx，日期['交易日期']，市净率LF['市净率LF']（sub_ZQZ_PB）</t>
  </si>
  <si>
    <t>与 V169 结构完全对称，仅分子改为中证2000估值溢价。同样采用稀疏型组合方案。中证2000数据始于2014年，早期数据缺失。 本脚本使用本地指数历史PE-PB文件的市净率LF字段。</t>
  </si>
  <si>
    <t>价值风格市净率季变化率差分与成长风格市净率季变化率差分之差</t>
  </si>
  <si>
    <t>D_PE+PB+DI+PS+PC+调仓_growth_100104_260325.xlsx，日期['交易日期']，市净率LF['市净率LF']（sub_growth_pb）；D_PE+PB+DI+PS+PC+调仓_value_100104_260325.xlsx，日期['交易日期']，市净率LF['市净率LF']（sub_value_pb）</t>
  </si>
  <si>
    <t>研报对 PB 变化率差分定义未完全明确（季度窗口假设为63交易日，差分为一阶差分）。研报信号方向 &gt;0 =&gt; growth：价值拥挤度上升快于成长时 value_diff &gt; growth_diff，即 growth_diff - value_diff &lt; 0 为 value，与规范一致后乘以 -1 修正。原始条目中 data_field 仅注明'市净率LF'，路径已更新至正式 data 目录。 本脚本使用本地成长/价值风格估值文件的市净率LF字段。</t>
  </si>
  <si>
    <t>计算国证成长指数与国证价值指数成分股每日市净率（按流通市值加权）并作差得到相对市净率，再计算相对市净率的5日和240日移动平均；当5日均线高于240日均线时，配置成长，否则配置价值。</t>
  </si>
  <si>
    <t>原始条目 docu 路径含 data_public/比价/，已统一修正为 data/比价/ 与 data_inventory_A.json 一致。研报采用成分股加权计算相对市净率，本处以指数整体估值近似，可能存在偏差。MA5-MA240差值直接保留连续强度后做 zscore，无需离散化。 本脚本使用本地成长/价值风格估值文件的市净率LF字段。</t>
  </si>
  <si>
    <t>20250110_西南证券_投资策略_风格择时系列二：识时通变：宏微同频成长价值风格轮动策略</t>
  </si>
  <si>
    <t>中证全指 PB_LF (最新财报市净率)；短期均线上穿长期均线配置成长。</t>
  </si>
  <si>
    <t>000985.CSI-历史PE-PB-20260509.xlsx，日期['交易日期']，市净率LF['市净率LF']（sub_1）</t>
  </si>
  <si>
    <t>均线窗口研报未明确给出，暂设 short=20日、long=120日（约一个季度/半年），后续可根据参数优化调整。全指PB_LF反映整体市场估值水平，PB上升趋势（短期MA上穿长期MA）对应成长偏好。 本脚本使用本地指数历史PE-PB文件的市净率LF字段。</t>
  </si>
  <si>
    <t>先计算风格差值PE_TTM：(成长指数PE_TTM - 价值指数PE_TTM)，再计算该差值的同比；短期均线上穿长期均线配置成长。</t>
  </si>
  <si>
    <t>D_PE+PB+DI+PS+PC+调仓_growth_100104_260325.xlsx，日期['交易日期']，市盈率TTM['市盈率TTM']（sub_growth_pe）；D_PE+PB+DI+PS+PC+调仓_value_100104_260325.xlsx，日期['交易日期']，市盈率TTM['市盈率TTM']（sub_value_pe）</t>
  </si>
  <si>
    <t>日频数据同比窗口取 252 交易日（约1年）。均线窗口 short=20、long=120，与 V173 保持一致，研报实际参数未明确。PE_TTM同比同时度量估值水平与趋势变化，是估值动量的组合信号。 本脚本使用本地成长/价值风格估值文件的市盈率TTM字段。</t>
  </si>
  <si>
    <t>B_factors/reference/working_multiple_factors_plan_completed_V175_V182.json</t>
  </si>
  <si>
    <t>priceFactors11</t>
  </si>
  <si>
    <t>2026-05-22T01:57:26.236531+00:00</t>
  </si>
  <si>
    <t>成长指数PS_TTM - 价值指数PS_TTM；短期均线上穿长期均线配置成长。</t>
  </si>
  <si>
    <t>D_PE+PB+DI+PS+PC+调仓_growth_100104_260325.xlsx，日期['交易日期']，市销率TTM['市销率TTM']；D_PE+PB+DI+PS+PC+调仓_value_100104_260325.xlsx，日期['交易日期']，市销率TTM['市销率TTM']</t>
  </si>
  <si>
    <t>short/long均线窗口研报未指定，建议20/120日；diff &gt; 0表示成长PS_TTM扩张更快，对应成长占优，方向与规范一致。 本脚本使用本地成长/价值风格指数估值文件的日频估值字段。</t>
  </si>
  <si>
    <t>计算价值股票组合和成长股票组合的平均账面市值比(BP)的差值，再计算该差值在历史上的扩展窗口分位数</t>
  </si>
  <si>
    <t>D_PE+PB+DI+PS+PC+调仓_growth_100104_260325.xlsx，日期['交易日期']，市净率LF['市净率LF']；D_PE+PB+DI+PS+PC+调仓_value_100104_260325.xlsx，日期['交易日期']，市净率LF['市净率LF']</t>
  </si>
  <si>
    <t>研报原始用'大盘组合BP - 成长组合BP'，本地无独立大盘BP文件，以国证价值指数PB代理大盘价值BP；分位数 &gt; 0.5表示价值相对便宜，理论上value占优，原始方向为价值优于成长时分位数高，故乘以-1翻转（factor = 0.5 - quantile_rank）可使 &gt;0 =&gt; growth；此处保留研报原始方向供审核，可能需调整符号。 本脚本使用本地成长/价值风格指数估值文件的日频估值字段。 原计划 notes 指出需翻转方向以满足 &gt;0=&gt;growth，本实现采用 factor = 0.5 - expanding_quantile_rank。</t>
  </si>
  <si>
    <t>基于相似性算法的风格轮动策略（最新PPT）</t>
  </si>
  <si>
    <t>计算成长风格组合和价值风格组合的平均账面市值比(BP)的差值，再计算该差值在历史上的扩展窗口分位数。BP=1/市净率</t>
  </si>
  <si>
    <t>研报无明确交易方向阈值，此条件仅输出赔率评分；成长BP - 价值BP分位数低（成长相对更贵）时取正值，表示偏向持有成长，方向存在不确定性，需结合其他因子使用。 本脚本使用本地成长/价值风格指数估值文件的日频估值字段。</t>
  </si>
  <si>
    <t>将流通股本月末值标准化：z = (CAP_t - μ) / σ，其中μ和σ为月度序列的均值和标准差</t>
  </si>
  <si>
    <t>IndexStatement.xlsx，指数代码['Indexcd']，日期['Date']，归属母公司股东的权益['归属母公司股东的权益']（代理净资产，可辅助构造）；mktP.parquet，股票代码['Stkcd']，交易日期['Trddt']，日成交股数['Dnshrtrd']</t>
  </si>
  <si>
    <t>本地无直接流通股本（Liqshr）日频数据；IndexStatement.xlsx为季频指数财务数据，缺少流通股本字段；建议从Wind补充流通市值或流通股本数据。研报显示标准化流通股本越大反而倾向价值（Loser），故condition已取反（*-1）使 &gt;0 对应成长。 本脚本使用 IndexStatement.xlsx 中 399370 国证成长指数的归属母公司股东的权益作为流通股本不可得时的规模代理，并按 PubDate 挂载。</t>
  </si>
  <si>
    <t>20080919-申银万国-风格轮动中的动量因子-2008数量化投资之十</t>
  </si>
  <si>
    <t>V179</t>
  </si>
  <si>
    <t>将每股收益月末值标准化：z = (EPS_t - μ) / σ，其中μ和σ为月度序列的均值和标准差（可能使用全部历史或滚动窗口）</t>
  </si>
  <si>
    <t>IndexStatement.xlsx，指数代码['Indexcd']，日期['Date']，每股收益['EPS']；Con_ep_roll.parquet，交易日期['TRADE_DT']，指数代码['S_INFO_WINDCODE']，滚动一致预期EPS['Con_ep_roll']</t>
  </si>
  <si>
    <t>研报信号方向不统一（在不同Winner类型中EPS为正向/反向指标），此处取原始z-score输出，不强制翻转；下游SVM可自动学习方向。z_score &gt; 0表示EPS相对历史偏高，研报整体上偏向成长特征，暂不翻转。 本脚本使用 IndexStatement.xlsx 中 399370 国证成长指数 EPS，并按 PubDate 挂载。</t>
  </si>
  <si>
    <t>V180</t>
  </si>
  <si>
    <t>将股息率月末值标准化：z = (D/P_t - μ) / σ，其中μ和σ为月度序列的均值和标准差</t>
  </si>
  <si>
    <t>D_PE+PB+DI+PS+PC+调仓_growth_100104_260325.xlsx，日期['交易日期']，股息率['股息率']；D_PE+PB+DI+PS+PC+调仓_value_100104_260325.xlsx，日期['交易日期']，股息率['股息率']；可取成长/价值差值，或仅用成长指数股息率</t>
  </si>
  <si>
    <t>研报原始结论：标准化股息率越高的股票反而成为Loser，与常规价值溢价相反，信号方向不明确；condition已乘以-1，使高股息率对应负值（偏价值/Loser），低股息率（成长特征）对应正值。建议用于机器学习特征而非单独使用。 本脚本使用本地成长/价值风格指数估值文件的日频估值字段。</t>
  </si>
  <si>
    <t>计算标准化PB的季度变动，即SPB的当期值减去上一期值；标准化PB可能通过滚动z-score得到</t>
  </si>
  <si>
    <t>研报用于季度风格轮动，建议将日频PB重采样为季度末值再计算变动；condition取反（*-1）使PB回落对应正值（偏成长），符合研报逻辑。未给出明确阈值，factor作为连续信号输出。 本脚本使用本地成长/价值风格指数估值文件的日频估值字段。</t>
  </si>
  <si>
    <t>GICS金融行业PE / 全部A股PE</t>
  </si>
  <si>
    <t>881001.WI-历史PE-PB-20260518.xlsx，日期['交易日期']，市盈率TTM['市盈率TTM']（全A PE，sub_2）；大金融PE（sub_1）本地无对应文件，需从Wind获取GICS/申万金融行业市盈率TTM</t>
  </si>
  <si>
    <t>本地数据缺少金融行业PE序列，data/update/801811.SI-历史PE-PB-*.xlsx 及 801813.SI-历史PE-PB-*.xlsx 中含市盈率TTM字段，可合并银行+非银行金融作为大金融代理；sub_1取加权均值或算术平均，sub_2取881001.WI全A市盈率TTM；条件：sub_1/sub_2 &gt; 历史均值时zscore &gt; 0，但金融PE高通常对应价值板块贵，信号方向需结合研报验证。 本脚本使用 801811.SI 与 801813.SI 历史PE-PB文件的市盈率TTM算术平均代理大金融PE，并与 Wind全A PE 相除。</t>
  </si>
  <si>
    <t>消费与非消费指数PE差</t>
  </si>
  <si>
    <t>V183</t>
  </si>
  <si>
    <t>raw = pe_consume - pe_nonconsume
factor = calc_rolling_zscore(raw, window=504)</t>
  </si>
  <si>
    <t>B_factors/reference/working_multiple_factors_plan_completed_V183_V190.json</t>
  </si>
  <si>
    <t>消费指数PE - 非消费指数PE</t>
  </si>
  <si>
    <t>本地暂无直接字段；如有数据则：消费行业指数PE['市盈率TTM']，非消费行业指数PE['市盈率TTM']</t>
  </si>
  <si>
    <t>海通自建消费/非消费指数，无公开标准代码，本地data_inventory无对应估值文件。作为SVM输入特征使用，未单独定义信号阈值，方向不确定，condition暂以消费PE高于非消费PE&gt;0（偏成长）处理，待研报方向确认后可乘-1翻转。 本地缺少海通自建消费/非消费PE，本脚本使用成长指数PE减价值指数PE作为可落地代理。</t>
  </si>
  <si>
    <t>消费与非消费指数PB差</t>
  </si>
  <si>
    <t>V184</t>
  </si>
  <si>
    <t>raw = pb_consume - pb_nonconsume
factor = calc_rolling_zscore(raw, window=504)</t>
  </si>
  <si>
    <t>消费指数PB - 非消费指数PB</t>
  </si>
  <si>
    <t>本地暂无直接字段；如有数据则：消费行业指数PB['市净率LF']，非消费行业指数PB['市净率LF']</t>
  </si>
  <si>
    <t>海通自建消费/非消费指数，无公开标准代码，本地data_inventory无对应文件。作为SVM输入特征，方向未知，condition暂以消费PB差&gt;0对应成长处理，方向待确认。 本地缺少海通自建消费/非消费PB，本脚本使用成长指数PB减价值指数PB作为可落地代理。</t>
  </si>
  <si>
    <t>消费与非消费指数收益差</t>
  </si>
  <si>
    <t>V185</t>
  </si>
  <si>
    <t>ret_consume    = consume_close.pct_change(22)
ret_nonconsume = nonconsume_close.pct_change(22)
raw = ret_consume - ret_nonconsume
factor = calc_rolling_zscore(raw, window=504)</t>
  </si>
  <si>
    <t>消费指数收益率 - 非消费指数收益率（月度）</t>
  </si>
  <si>
    <t>industry_indice.parquet，日期['指标名称'行为时间索引]，消费类行业收盘价['中信行业指数:食品饮料','中信行业指数:家电','中信行业指数:商贸零售','中信行业指数:纺织服装','中信行业指数:农林牧渔','中信行业指数:消费者服务','中信行业指数:医药']；非消费类为其余中信行业列</t>
  </si>
  <si>
    <t>海通消费/非消费指数为自定义，无公开数据源，单个因子方向未知。以中信行业指数消费板块vs非消费板块作替代方案，方向暂定消费收益率高&gt;0（偏成长），待确认后可翻转。 本脚本使用 industry_indice.parquet 中消费类中信行业指数均值与其余中信行业指数均值的20日收益差。</t>
  </si>
  <si>
    <t>V186</t>
  </si>
  <si>
    <t>消费指数市盈率 - 非消费指数市盈率</t>
  </si>
  <si>
    <t>本地暂无直接字段；如补充数据则：消费指数PE['市盈率TTM']，非消费指数PE['市盈率TTM']</t>
  </si>
  <si>
    <t>同V183，海通自定义，无公开数据源，单个因子方向未知，作SVM特征。方向暂定消费PE差&gt;0偏成长（较高估值溢价），待确认。 本地缺少海通自建消费/非消费PE，本脚本使用成长指数PE减价值指数PE作为可落地代理。</t>
  </si>
  <si>
    <t>V187</t>
  </si>
  <si>
    <t>消费指数市净率 - 非消费指数市净率</t>
  </si>
  <si>
    <t>本地暂无直接字段；如补充数据则：消费指数PB['市净率LF']，非消费指数PB['市净率LF']</t>
  </si>
  <si>
    <t>同V184，海通自定义，无公开数据源，单个因子方向未知，作SVM特征。方向暂定消费PB差&gt;0偏成长，待确认。 本地缺少海通自建消费/非消费PB，本脚本使用成长指数PB减价值指数PB作为可落地代理。</t>
  </si>
  <si>
    <t>前M个交易日中证100指数涨幅减去中证500指数涨幅。M取两周（约10个交易日），可根据参数调整。</t>
  </si>
  <si>
    <t>index_eod.parquet，筛选Indexcd==000903，日期['Idxtrd01']，收盘价['Idxtrd05']；筛选Indexcd==000905，日期['Idxtrd01']，收盘价['Idxtrd05']</t>
  </si>
  <si>
    <t>中证100为大盘蓝筹偏价值风格，中证500为中盘偏成长风格。100涨幅&gt;500涨幅(raw&gt;0)时偏价值，故condition中乘-1使正值对应成长。M参数优化结果为两周≈10个交易日，可由Config.M配置覆盖。 本脚本使用 index_eod.parquet 的中文字段：交易所指数代码、收盘指数；000903代理中证100，000905代理中证500。</t>
  </si>
  <si>
    <t>20110223-国信证券-交易性指标与策略系列之五：基于相对资金强弱(RMS)指标的风格轮动策略</t>
  </si>
  <si>
    <t>富时100指数前月涨跌幅</t>
  </si>
  <si>
    <t>V189</t>
  </si>
  <si>
    <t># logit模型自变量，系数为负，即富时100上涨=&gt;偏value，需翻转
ftse_close = ftse100['收盘价']
raw = ftse_close.resample('ME').last().pct_change(1)
# 日频使用：取当月最新月收益率（用rolling 22日近似月收益）
raw_daily = ftse_close / ftse_close.shift(22) - 1
factor = calc_rolling_zscore(raw_daily, window=504) * (-1)</t>
  </si>
  <si>
    <t>富时100指数前月收盘价/前两月收盘价 - 1</t>
  </si>
  <si>
    <t>暂缺；若补充FTSE100数据后：FTSE100价格文件，日期['交易日期']，收盘价['收盘价']</t>
  </si>
  <si>
    <t>研报为港股风格轮动logit模型自变量，系数为负（富时100涨=value风格），故condition乘-1翻转方向。本地暂无FTSE100文件，需从Wind补充UKX.GI历史行情。 本地缺少FTSE100，本脚本使用 industry_indice.parquet 中恒生指数的22日收益作为港股外盘代理，并按原方向乘以-1。</t>
  </si>
  <si>
    <t>金融非金融相对强弱指数</t>
  </si>
  <si>
    <t>V190</t>
  </si>
  <si>
    <t># 研报原始：&gt;0 =&gt; value；需乘-1翻转使&gt;0 =&gt; growth
# 用中信行业金融板块（银行+非银行金融）代理中证金融指数
# 用其余中信行业均值代理中证非金融指数
finance_cols   = ['中信行业指数:银行', '中信行业指数:非银行金融']
non_finance_cols = [c for c in industry_df.columns if c not in finance_cols and c.startswith('中信行业指数')]
finance_ret    = np.log(industry_df[finance_cols].mean(axis=1)).diff(1)
non_finance_ret = np.log(industry_df[non_finance_cols].mean(axis=1)).diff(1)
raw = finance_ret - non_finance_ret
# 金融跑赢=&gt;偏value=&gt;原始&gt;0 value，乘-1翻转
factor = calc_rolling_zscore(raw, window=504) * (-1)</t>
  </si>
  <si>
    <t>中证金融指数收益率与中证非金融指数收益率的对数差</t>
  </si>
  <si>
    <t>industry_indice.parquet，日期列（以'指标名称'行为时间索引），金融板块['中信行业指数:银行','中信行业指数:非银行金融']；非金融板块为其余所有'中信行业指数:*'列</t>
  </si>
  <si>
    <t>申万宏源原始信号方向：金融跑赢非金融(&gt;0) =&gt; value；本条已在condition中乘-1翻转，使正值对应成长。中证金融/非金融指数为自编，本地无对应数据；以中信行业银行+非银行金融均值代理金融指数，其余中信行业均值代理非金融指数，作为替代方案。 本脚本使用 industry_indice.parquet 中银行+非银行金融均值代理金融指数，其余中信行业指数均值代理非金融指数。</t>
  </si>
  <si>
    <t>周期非周期相对强弱指数</t>
  </si>
  <si>
    <t>V191</t>
  </si>
  <si>
    <t># 上证周期指数约对应巨潮大盘(399314)，非周期约对应巨潮小盘(399316)；
# 如有更精确周期/非周期指数代码可替换
cycle_close    = df_idx.loc[df_idx['S_INFO_WINDCODE']=='399314.SZ', 'S_DQ_CLOSE']
noncycle_close = df_idx.loc[df_idx['S_INFO_WINDCODE']=='399316.SZ', 'S_DQ_CLOSE']
rn = np.log(cycle_close) - np.log(noncycle_close)
# 研报原始方向：Rn&gt;0 =&gt; 周期强于非周期 =&gt; value；需反向
raw = -rn
factor = calc_rolling_zscore(raw, window=504)</t>
  </si>
  <si>
    <t>B_factors/reference/working_multiple_factors_plan_completed_V191_V198.json</t>
  </si>
  <si>
    <t>priceFactors12</t>
  </si>
  <si>
    <t>2026-05-22T02:11:20.745230+00:00</t>
  </si>
  <si>
    <t>上证周期指数收益率与上证非周期指数收益率的对数差</t>
  </si>
  <si>
    <t>AIndexEODPrices.parquet，指数代码['S_INFO_WINDCODE']，交易日期['TRADE_DT']，收盘价['S_DQ_CLOSE']；筛选 S_INFO_WINDCODE=='399314.SZ' 作为周期指数，S_INFO_WINDCODE=='399316.SZ' 作为非周期指数</t>
  </si>
  <si>
    <t>原始方向：Rn=log(周期)-log(非周期)，&gt;0表示周期强即偏价值，已在condition中乘-1翻转为成长正值。本地无上交所官方周期/非周期指数，以巨潮大盘(399314)和巨潮小盘(399316)近似替代，数据均在AIndexEODPrices.parquet中（需确认该文件包含这两个代码；原文档说明仅含399370/399371，若缺失需扩充或使用其他数据源）。 本脚本使用 AIndexEODPrices.parquet 中 399314.SZ 与 399316.SZ 作为周期/非周期代理。</t>
  </si>
  <si>
    <t>Rn曲线斜率β1</t>
  </si>
  <si>
    <t>V192</t>
  </si>
  <si>
    <t># Rn = -[log(cycle_close) - log(noncycle_close)]（已翻转，见F003）
# 以F003的raw序列作为Rn_adj输入
beta1_raw = calc_llt(Rn_adj, d=30).diff()
# 翻转方向与F003一致（Rn已翻转，β1方向也已翻转）
factor = calc_rolling_zscore(beta1_raw, window=504)</t>
  </si>
  <si>
    <t>对Rn序列进行LLT平滑后，计算一阶差分或线性回归斜率</t>
  </si>
  <si>
    <t>AIndexEODPrices.parquet，指数代码['S_INFO_WINDCODE']，交易日期['TRADE_DT']，收盘价['S_DQ_CLOSE']；基于F003计算的Rn序列进一步LLT平滑后求一阶差分</t>
  </si>
  <si>
    <t>β1为Rn曲线斜率，表征相对强弱延续方向趋势；方向继承F003已翻转的Rn序列，LLT平滑参数d暂用30（研报未明确）。依赖F003的数据源，数据可用性同F003注释。 本脚本使用 AIndexEODPrices.parquet 中 399314.SZ 与 399316.SZ 作为周期/非周期代理。</t>
  </si>
  <si>
    <t>β1曲线斜率β2</t>
  </si>
  <si>
    <t>V193</t>
  </si>
  <si>
    <t># beta1_adj为F004已翻转方向的β1序列
beta2_raw = calc_llt(beta1_adj, d=30).diff()
factor = calc_rolling_zscore(beta2_raw, window=504)</t>
  </si>
  <si>
    <t>对β1序列进行LLT平滑后，计算一阶差分或线性回归斜率</t>
  </si>
  <si>
    <t>AIndexEODPrices.parquet，指数代码['S_INFO_WINDCODE']，交易日期['TRADE_DT']，收盘价['S_DQ_CLOSE']；基于F004计算的β1序列进一步LLT平滑后求一阶差分</t>
  </si>
  <si>
    <t>β2为β1曲线斜率，表征Rn斜率变化趋势；方向继承F004已翻转的β1序列，LLT平滑参数d暂用30。依赖F003/F004数据源，可用性同前。 本脚本使用 AIndexEODPrices.parquet 中 399314.SZ 与 399316.SZ 作为周期/非周期代理。</t>
  </si>
  <si>
    <t>行业走势分化度月度变化率，分化度计算方法参考《基于走势分化度的择时策略》</t>
  </si>
  <si>
    <t>Astockdaily.parquet，交易日期['TradingDate']，股票代码['Symbol']，日收益率['Ret']；按月对Ret累加后计算截面标准差得到分化度，再求月度变化率</t>
  </si>
  <si>
    <t>研报原文信号方向未明确（'unknown'），且计算方法参考《基于走势分化度的择时策略》（未提供原文）。此处暂以个股截面月度收益率标准差的月度变化率近似分化度变化率，方向暂设正值=成长（分化度上升时小市值/成长股弹性更大）；下游SVM可自动学习方向。Ret字段为日收益率，需确认是否含停牌及退市股票的处理逻辑。 Astockdaily.parquet 的 Ret 字段不像日收益率；本脚本使用 ChangeRatio 计算月度个股收益截面分化度。</t>
  </si>
  <si>
    <t>小市值超额大市值月度收益率差</t>
  </si>
  <si>
    <t>V195</t>
  </si>
  <si>
    <t># 用Astockdaily按月聚合个股收益率和流通市值
df = Astockdaily.copy()
df['month'] = pd.to_datetime(df['TradingDate']).dt.to_period('M')
# 每月末截面按流通市值分十组
df['mktcap_decile'] = df.groupby('month')['CirculatedMarketValue'].transform(
    lambda x: pd.qcut(x, 10, labels=False, duplicates='drop'))
# 计算月度个股收益率（日收益复合）
monthly_ret = df.groupby(['month','Symbol'])['Ret'].apply(lambda r: (1+r).prod()-1).reset_index()
monthly_ret = monthly_ret.merge(
    df.groupby(['month','Symbol'])['mktcap_decile'].last().reset_index(),
    on=['month','Symbol'])
# 取第0组（最小）和第9组（最大）月收益率中位数之差
small_ret = monthly_ret[monthly_ret['mktcap_decile']==0].groupby('month')['Ret'].median()
large_ret = monthly_ret[monthly_ret['mktcap_decile']==9].groupby('month')['Ret'].median()
raw = small_ret - large_ret  # &gt;0 小市值超额 =&gt; 成长
factor = calc_rolling_zscore(raw, window=24)</t>
  </si>
  <si>
    <t>每月将全市场个股按市值排序分成10组，取第1组（最小市值）和第10组（最大市值）的月度收益率中位数，计算两者之差</t>
  </si>
  <si>
    <t>Astockdaily.parquet，交易日期['TradingDate']，股票代码['Symbol']，流通市值['CirculatedMarketValue']，日收益率['Ret']；按月聚合后按流通市值分十组，取最小组与最大组月度收益率中位数之差</t>
  </si>
  <si>
    <t>研报原始信号方向未明确，但历史规律显示小市值超额大市值时成长风格占优，故正差值=成长。市值分组使用流通市值（CirculatedMarketValue），与部分研报用总市值有差异；若需总市值可用wind或其他数据源补充。月度收益率采用日收益率复合计算。 Astockdaily.parquet 的 Ret 字段不像日收益率；本脚本使用 ChangeRatio 复合月度收益，并用 CirculatedMarketValue 月末截面分组。</t>
  </si>
  <si>
    <t>20170601-广发证券-量化择时研究与风格轮动</t>
  </si>
  <si>
    <t>40天CAPM模型的Beta值，成分股加权合成后取成长/价值比率</t>
  </si>
  <si>
    <t>growth_factor_Fri.parquet，成分股代码['component']，权重['weight']，持仓日期['holding_date']；value_factor_Fri.parquet，成分股代码['component']，权重['weight']，持仓日期['holding_date']；mktP.parquet，股票代码['Stkcd']，交易日期['Trddt']，复权收盘价['Adjprcwd']；AIndexEODPrices.parquet，指数代码['S_INFO_WINDCODE']，交易日期['TRADE_DT']，收盘价['S_DQ_CLOSE']（筛选399370.SZ作为市场收益率基准）</t>
  </si>
  <si>
    <t>研报原始信号方向未明确，按逻辑：成长/价值Beta比率&gt;1（即成长Beta更高）时，成长股弹性更大，偏成长行情，故ratio-1&gt;0=成长。市场收益率建议用Wind全A（881001）或沪深300替代，本地AIndexEODPrices仅含399370/399371，可用国证成长近似或扩充数据源。 本脚本使用 growth_factor_Fri/value_factor_Fri 的成分权重、mktP.parquet 的 Dretwd 个股收益，并以 399370.SZ 收益作为 CAPM 市场收益代理。</t>
  </si>
  <si>
    <t>80天CAPM模型的Beta值，成分股加权合成后取成长/价值比率</t>
  </si>
  <si>
    <t>同F004，窗口扩展至80天，其余计算逻辑、数据源和方向约定完全一致。 本脚本使用 growth_factor_Fri/value_factor_Fri 的成分权重、mktP.parquet 的 Dretwd 个股收益，并以 399370.SZ 收益作为 CAPM 市场收益代理。</t>
  </si>
  <si>
    <t>100天CAPM模型的Beta值，成分股加权合成后取成长/价值比率</t>
  </si>
  <si>
    <t>同F004，窗口扩展至100天，其余计算逻辑、数据源和方向约定完全一致。F004/F005/F006三个Beta窗口因子可并列作为Beta动量因子族。 本脚本使用 growth_factor_Fri/value_factor_Fri 的成分权重、mktP.parquet 的 Dretwd 个股收益，并以 399370.SZ 收益作为 CAPM 市场收益代理。</t>
  </si>
  <si>
    <t>B_factors/reference/working_multiple_factors_plan_completed_V199_V206.json</t>
  </si>
  <si>
    <t>40天CAPM模型的拟合优度Rsq，成分股加权合成后取成长/价值比率</t>
  </si>
  <si>
    <t>IndexComponents.parquet，指数代码['S_INFO_WINDCODE']（筛选399370.SZ/399371.SZ），成分股代码['S_CON_WINDCODE']，日期['TRADE_DT']，权重['I_WEIGHT']；Astockdaily.parquet，日期['TradingDate']，股票代码['Symbol']，日收益率['Ret']</t>
  </si>
  <si>
    <t>sub_1=成长合成Rsq_40D, sub_2=价值合成Rsq_40D。市场收益率用全A成分股等权均值替代，若需精确全A指数日收益可从 industry_indice.parquet 补充。CAPM Rsq 计算量大，建议预计算后缓存。 本脚本沿用 V196-V198 的风格成分权重与 mktP.parquet Dretwd，并以 399370.SZ 收益作为 CAPM 市场收益代理计算滚动R²。</t>
  </si>
  <si>
    <t>80天CAPM模型的拟合优度Rsq，成分股加权合成后取成长/价值比率</t>
  </si>
  <si>
    <t>sub_1=成长合成Rsq_80D, sub_2=价值合成Rsq_80D。与 F007 逻辑相同，仅回看窗口从40日延长至80日。 本脚本沿用 V196-V198 的风格成分权重与 mktP.parquet Dretwd，并以 399370.SZ 收益作为 CAPM 市场收益代理计算滚动R²。</t>
  </si>
  <si>
    <t>根据过去8个交易日国证成长与价值成分股相对市场等权的累计超额收益符号划分强弱，按流通市值加权计算扩散指数，相对扩散指数为成长扩散指数与价值扩散指数的比值；计算相对扩散指数的15日和60日移动平均，当15日均线高于60日均线时，配置成长，否则配置价值。</t>
  </si>
  <si>
    <t>Astockdaily.parquet，日期['TradingDate']，股票代码['Symbol']，日收益率['Ret']，流通市值['CirculatedMarketValue']；IndexComponents.parquet，指数代码['S_INFO_WINDCODE']（筛选399370.SZ/399371.SZ），成分股代码['S_CON_WINDCODE']，日期['TRADE_DT']</t>
  </si>
  <si>
    <t>相对扩散指数计算依赖全A个股日收益及流通市值权重，Astockdaily.parquet 含 Ret 和 CirculatedMarketValue 可支持。若个股覆盖不全，可用 S_DQ_ADJCLOSE.parquet 补充价格计算收益率。 Astockdaily.parquet 的 Ret 字段不像日收益率；本脚本使用 ChangeRatio 计算8日累计超额收益，并用 CirculatedMarketValue 做风格成分内流通市值加权扩散指数。</t>
  </si>
  <si>
    <t>每季度计算基金重仓股在金融地产、消费、周期、TMT四大板块的超配比例，计算每个板块超配比例环比变动幅度的排名（1~4），再计算本季度排名与上季度排名之差的平方和。</t>
  </si>
  <si>
    <t>industry_indice.parquet，日期['指标名称'对应的时间索引]，板块指数收益率：['中信行业指数:银行']，['中信行业指数:非银行金融']，['中信行业指数:房地产']，['中信行业指数:食品饮料']，['中信行业指数:医药']，['中信行业指数:家电']，['中信行业指数:商贸零售']，['中信行业指数:农林牧渔']，['中信行业指数:纺织服装']，['中信行业指数:消费者服务']，['中信行业指数:煤炭']，['中信行业指数:有色金属']，['中信行业指数:钢铁']，['中信行业指数:基础化工']，['中信行业指数:建筑']，['中信行业指数:建材']，['中信行业指数:石油石化']，['中信行业指数:计算机']，['中信行业指数:通信']，['中信行业指数:传媒']，['中信行业指数:电子']，['中信行业指数:电力设备及新能源']</t>
  </si>
  <si>
    <t>原始需基金重仓股季度超配比例数据，本地无对应私有数据库。以中信行业指数收益率排名变化作为替代，逻辑近似但非精确还原。高阈值14，低阈值4，超过高阈值后均值回归（本实现中高值对应轮动剧烈）。本因子本身无天然成长/价值方向，建议由下游SVM学习。 本脚本使用 industry_indice.parquet 的中信行业指数点位计算日收益，再按季度汇总为四大板块收益排名变化；原始基金重仓超配比例数据本地不可得。</t>
  </si>
  <si>
    <t>20181111-中银国际-策略周报&amp;比较与配置系列专题之一：风格轮动指数四季度大概率回落</t>
  </si>
  <si>
    <t>每季度计算基金重仓股在四大板块的超配比例，计算每个板块超配比例环比变动幅度的排名，再计算本季度排名与上季度排名之差的绝对值之和。</t>
  </si>
  <si>
    <t>industry_indice.parquet，同 F001，日期索引及22个中信行业板块指数收益率字段</t>
  </si>
  <si>
    <t>原始需基金重仓股数据，以行业指数收益率排名代替。高阈值6，低阈值2。本因子无内在成长/价值方向，下游SVM学习。 本脚本使用 industry_indice.parquet 的中信行业指数点位计算日收益，再按季度汇总为四大板块收益排名变化；原始基金重仓超配比例数据本地不可得。</t>
  </si>
  <si>
    <t>金融地产板块超配比例环比变动幅度排名与上季度排名之差的绝对值。</t>
  </si>
  <si>
    <t>industry_indice.parquet，日期索引；['中信行业指数:银行']，['中信行业指数:非银行金融']，['中信行业指数:房地产']（三者平均合并为金融地产板块）</t>
  </si>
  <si>
    <t>反映金融地产板块仓位变动排名的变化幅度。以行业指数收益率季度排名变化代替基金实际超配比例排名。 本脚本使用 industry_indice.parquet 的中信行业指数点位计算日收益，再按季度汇总为四大板块收益排名变化；原始基金重仓超配比例数据本地不可得。</t>
  </si>
  <si>
    <t>周期板块超配比例环比变动幅度排名与上季度排名之差的绝对值。</t>
  </si>
  <si>
    <t>industry_indice.parquet，日期索引；['中信行业指数:煤炭']，['中信行业指数:有色金属']，['中信行业指数:钢铁']，['中信行业指数:基础化工']，['中信行业指数:建筑']，['中信行业指数:建材']，['中信行业指数:石油石化']（七者平均合并为周期板块）</t>
  </si>
  <si>
    <t>反映周期板块仓位变动排名的变化幅度。以行业指数收益率季度排名变化代替基金实际超配比例排名。 本脚本使用 industry_indice.parquet 的中信行业指数点位计算日收益，再按季度汇总为四大板块收益排名变化；原始基金重仓超配比例数据本地不可得。</t>
  </si>
  <si>
    <t>TMT板块超配比例环比变动幅度排名与上季度排名之差的绝对值。</t>
  </si>
  <si>
    <t>industry_indice.parquet，日期索引；['中信行业指数:计算机']，['中信行业指数:通信']，['中信行业指数:传媒']，['中信行业指数:电子']，['中信行业指数:电力设备及新能源']（五者平均合并为TMT板块）</t>
  </si>
  <si>
    <t>反映TMT板块仓位变动排名的变化幅度。以行业指数收益率季度排名变化代替基金实际超配比例排名。 本脚本使用 industry_indice.parquet 的中信行业指数点位计算日收益，再按季度汇总为四大板块收益排名变化；原始基金重仓超配比例数据本地不可得。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</si>
</sst>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新細明體"/>
      <family val="2"/>
      <scheme val="minor"/>
    </font>
    <font>
      <sz val="9"/>
      <name val="新細明體"/>
      <family val="3"/>
      <charset val="136"/>
      <scheme val="minor"/>
    </font>
    <font>
      <b/>
      <sz val="11"/>
      <color theme="1"/>
      <name val="新細明體"/>
      <family val="1"/>
      <charset val="136"/>
      <scheme val="minor"/>
    </font>
    <font>
      <b/>
      <sz val="11"/>
      <name val="新細明體"/>
      <family val="1"/>
      <charset val="136"/>
    </font>
  </fonts>
  <fills count="4">
    <fill>
      <patternFill patternType="none"/>
    </fill>
    <fill>
      <patternFill patternType="gray125"/>
    </fill>
    <fill>
      <patternFill patternType="solid">
        <fgColor theme="9" tint="0.79998168889431442"/>
        <bgColor indexed="64"/>
      </patternFill>
    </fill>
    <fill>
      <patternFill patternType="solid">
        <fgColor rgb="FFD9EAF7"/>
      </patternFill>
    </fill>
  </fills>
  <borders count="1">
    <border>
      <left/>
      <right/>
      <top/>
      <bottom/>
      <diagonal/>
    </border>
  </borders>
  <cellStyleXfs count="1">
    <xf numFmtId="0" fontId="0" fillId="0" borderId="0"/>
  </cellStyleXfs>
  <cellXfs count="12">
    <xf numFmtId="0" fontId="0" fillId="0" borderId="0" xfId="0"/>
    <xf numFmtId="10" fontId="0" fillId="0" borderId="0" xfId="0" applyNumberFormat="1"/>
    <xf numFmtId="0" fontId="0" fillId="2" borderId="0" xfId="0" applyFill="1"/>
    <xf numFmtId="10" fontId="0" fillId="2" borderId="0" xfId="0" applyNumberFormat="1" applyFill="1"/>
    <xf numFmtId="0" fontId="2" fillId="0" borderId="0" xfId="0" applyFont="1" applyAlignment="1">
      <alignment horizontal="center"/>
    </xf>
    <xf numFmtId="10" fontId="2" fillId="0" borderId="0" xfId="0" applyNumberFormat="1" applyFont="1" applyAlignment="1">
      <alignment horizontal="center"/>
    </xf>
    <xf numFmtId="0" fontId="0" fillId="0" borderId="0" xfId="0" applyAlignment="1">
      <alignment horizontal="center"/>
    </xf>
    <xf numFmtId="0" fontId="0" fillId="2" borderId="0" xfId="0" applyFill="1" applyAlignment="1">
      <alignment horizontal="center"/>
    </xf>
    <xf numFmtId="0" fontId="0" fillId="0" borderId="0" xfId="0" applyAlignment="1">
      <alignment horizontal="center" vertical="center"/>
    </xf>
    <xf numFmtId="0" fontId="0" fillId="0" borderId="0" xfId="0" applyAlignment="1">
      <alignment vertical="center" wrapText="1"/>
    </xf>
    <xf numFmtId="0" fontId="3" fillId="3" borderId="0" xfId="0" applyFont="1" applyFill="1" applyAlignment="1">
      <alignment horizontal="center" vertical="center" wrapText="1"/>
    </xf>
    <xf numFmtId="0" fontId="0" fillId="0" borderId="0" xfId="0"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64"/>
  <sheetViews>
    <sheetView tabSelected="1" topLeftCell="A123" workbookViewId="0">
      <selection activeCell="D119" sqref="D119:F139"/>
    </sheetView>
  </sheetViews>
  <sheetFormatPr baseColWidth="10" defaultColWidth="9" defaultRowHeight="14"/>
  <cols>
    <col min="1" max="1" width="28.3984375" style="6" bestFit="1" customWidth="1"/>
    <col min="2" max="2" width="6.796875" bestFit="1" customWidth="1"/>
    <col min="3" max="4" width="16" bestFit="1" customWidth="1"/>
    <col min="5" max="6" width="135.796875" customWidth="1"/>
    <col min="7" max="7" width="16.796875" bestFit="1" customWidth="1"/>
    <col min="8" max="20" width="9" customWidth="1"/>
    <col min="21" max="23" width="9" style="1" customWidth="1"/>
    <col min="24" max="24" width="9" customWidth="1"/>
    <col min="25" max="25" width="9" style="1" customWidth="1"/>
  </cols>
  <sheetData>
    <row r="1" spans="1:25" s="4" customFormat="1">
      <c r="A1" s="4" t="s">
        <v>131</v>
      </c>
      <c r="B1" s="4" t="s">
        <v>0</v>
      </c>
      <c r="C1" s="4" t="s">
        <v>1</v>
      </c>
      <c r="D1" s="4" t="s">
        <v>132</v>
      </c>
      <c r="E1" s="4" t="s">
        <v>133</v>
      </c>
      <c r="F1" s="4" t="s">
        <v>134</v>
      </c>
      <c r="G1" s="4" t="s">
        <v>135</v>
      </c>
      <c r="H1" s="4" t="s">
        <v>136</v>
      </c>
      <c r="I1" s="4" t="s">
        <v>137</v>
      </c>
      <c r="J1" s="4" t="s">
        <v>138</v>
      </c>
      <c r="K1" s="4" t="s">
        <v>139</v>
      </c>
      <c r="L1" s="4" t="s">
        <v>140</v>
      </c>
      <c r="M1" s="4" t="s">
        <v>141</v>
      </c>
      <c r="N1" s="4" t="s">
        <v>142</v>
      </c>
      <c r="O1" s="4" t="s">
        <v>143</v>
      </c>
      <c r="P1" s="4" t="s">
        <v>144</v>
      </c>
      <c r="Q1" s="4" t="s">
        <v>145</v>
      </c>
      <c r="R1" s="4" t="s">
        <v>146</v>
      </c>
      <c r="S1" s="4" t="s">
        <v>147</v>
      </c>
      <c r="T1" s="4" t="s">
        <v>148</v>
      </c>
      <c r="U1" s="5" t="s">
        <v>149</v>
      </c>
      <c r="V1" s="5" t="s">
        <v>150</v>
      </c>
      <c r="W1" s="5" t="s">
        <v>151</v>
      </c>
      <c r="X1" s="4" t="s">
        <v>152</v>
      </c>
      <c r="Y1" s="5" t="s">
        <v>153</v>
      </c>
    </row>
    <row r="2" spans="1:25">
      <c r="B2" t="str">
        <f t="shared" ref="B2:B65" si="0">LEFT(G2)</f>
        <v>C</v>
      </c>
      <c r="C2" t="s">
        <v>7</v>
      </c>
      <c r="D2" t="str">
        <f t="shared" ref="D2:D65" si="1">B2&amp;"-"&amp;C2</f>
        <v>C-公募发行资金</v>
      </c>
      <c r="E2" t="s">
        <v>154</v>
      </c>
      <c r="F2" t="s">
        <v>155</v>
      </c>
      <c r="G2" t="s">
        <v>156</v>
      </c>
      <c r="H2">
        <v>0</v>
      </c>
      <c r="I2">
        <v>1</v>
      </c>
      <c r="J2">
        <v>0.5</v>
      </c>
      <c r="K2">
        <v>0.5</v>
      </c>
      <c r="L2">
        <v>2</v>
      </c>
      <c r="M2" t="b">
        <v>1</v>
      </c>
      <c r="N2" t="b">
        <v>1</v>
      </c>
      <c r="O2" t="b">
        <v>0</v>
      </c>
      <c r="P2" t="b">
        <v>0</v>
      </c>
      <c r="Q2" t="b">
        <v>0</v>
      </c>
      <c r="R2" t="b">
        <v>0</v>
      </c>
      <c r="S2" t="b">
        <v>1</v>
      </c>
      <c r="T2">
        <v>3</v>
      </c>
      <c r="U2" s="1">
        <v>0.51800796416357375</v>
      </c>
      <c r="V2" s="1">
        <v>0.99301546884902936</v>
      </c>
      <c r="W2" s="1">
        <v>7.436123378321152E-4</v>
      </c>
      <c r="X2">
        <v>5</v>
      </c>
      <c r="Y2" s="1">
        <v>0.50520833333333326</v>
      </c>
    </row>
    <row r="3" spans="1:25">
      <c r="A3" s="6">
        <v>1</v>
      </c>
      <c r="B3" t="str">
        <f t="shared" si="0"/>
        <v>C</v>
      </c>
      <c r="C3" t="s">
        <v>7</v>
      </c>
      <c r="D3" t="str">
        <f t="shared" si="1"/>
        <v>C-公募发行资金</v>
      </c>
      <c r="E3" t="s">
        <v>157</v>
      </c>
      <c r="F3" t="s">
        <v>158</v>
      </c>
      <c r="G3" t="s">
        <v>159</v>
      </c>
      <c r="H3">
        <v>0</v>
      </c>
      <c r="I3">
        <v>1</v>
      </c>
      <c r="J3">
        <v>0.5</v>
      </c>
      <c r="K3">
        <v>0.5</v>
      </c>
      <c r="L3">
        <v>2</v>
      </c>
      <c r="M3" t="b">
        <v>1</v>
      </c>
      <c r="N3" t="b">
        <v>1</v>
      </c>
      <c r="O3" t="b">
        <v>0</v>
      </c>
      <c r="P3" t="b">
        <v>0</v>
      </c>
      <c r="Q3" t="b">
        <v>0</v>
      </c>
      <c r="R3" t="b">
        <v>0</v>
      </c>
      <c r="S3" t="b">
        <v>1</v>
      </c>
      <c r="T3">
        <v>3</v>
      </c>
      <c r="U3" s="1">
        <v>0.51829883141777611</v>
      </c>
      <c r="V3" s="1">
        <v>0.96837709876231326</v>
      </c>
      <c r="W3" s="1">
        <v>4.6383460297976003E-4</v>
      </c>
      <c r="X3">
        <v>5</v>
      </c>
      <c r="Y3" s="1">
        <v>0.51458333333333339</v>
      </c>
    </row>
    <row r="4" spans="1:25">
      <c r="B4" t="str">
        <f t="shared" si="0"/>
        <v>C</v>
      </c>
      <c r="C4" t="s">
        <v>7</v>
      </c>
      <c r="D4" t="str">
        <f t="shared" si="1"/>
        <v>C-公募发行资金</v>
      </c>
      <c r="E4" t="s">
        <v>160</v>
      </c>
      <c r="F4" t="s">
        <v>161</v>
      </c>
      <c r="G4" t="s">
        <v>162</v>
      </c>
      <c r="H4">
        <v>0</v>
      </c>
      <c r="I4">
        <v>0</v>
      </c>
      <c r="J4">
        <v>0.5</v>
      </c>
      <c r="K4">
        <v>0</v>
      </c>
      <c r="L4">
        <v>0.5</v>
      </c>
      <c r="M4" t="b">
        <v>1</v>
      </c>
      <c r="N4" t="b">
        <v>1</v>
      </c>
      <c r="O4" t="b">
        <v>0</v>
      </c>
      <c r="P4" t="b">
        <v>0</v>
      </c>
      <c r="Q4" t="b">
        <v>1</v>
      </c>
      <c r="R4" t="b">
        <v>0</v>
      </c>
      <c r="S4" t="b">
        <v>1</v>
      </c>
      <c r="T4">
        <v>4</v>
      </c>
      <c r="U4" s="1">
        <v>0.53106247049356292</v>
      </c>
      <c r="V4" s="1">
        <v>0.98824032042631382</v>
      </c>
      <c r="W4" s="1">
        <v>1.2393836755250211E-3</v>
      </c>
      <c r="X4">
        <v>4.5</v>
      </c>
      <c r="Y4" s="1">
        <v>0.51354166666666656</v>
      </c>
    </row>
    <row r="5" spans="1:25">
      <c r="B5" t="str">
        <f t="shared" si="0"/>
        <v>C</v>
      </c>
      <c r="C5" t="s">
        <v>7</v>
      </c>
      <c r="D5" t="str">
        <f t="shared" si="1"/>
        <v>C-公募发行资金</v>
      </c>
      <c r="E5" t="s">
        <v>163</v>
      </c>
      <c r="F5" t="s">
        <v>164</v>
      </c>
      <c r="G5" t="s">
        <v>165</v>
      </c>
      <c r="H5">
        <v>0</v>
      </c>
      <c r="I5">
        <v>0</v>
      </c>
      <c r="J5">
        <v>0.5</v>
      </c>
      <c r="K5">
        <v>0</v>
      </c>
      <c r="L5">
        <v>0.5</v>
      </c>
      <c r="M5" t="b">
        <v>1</v>
      </c>
      <c r="N5" t="b">
        <v>0</v>
      </c>
      <c r="O5" t="b">
        <v>0</v>
      </c>
      <c r="P5" t="b">
        <v>0</v>
      </c>
      <c r="Q5" t="b">
        <v>0</v>
      </c>
      <c r="R5" t="b">
        <v>1</v>
      </c>
      <c r="S5" t="b">
        <v>1</v>
      </c>
      <c r="T5">
        <v>3</v>
      </c>
      <c r="U5" s="1">
        <v>0.49804348058527198</v>
      </c>
      <c r="V5" s="1">
        <v>1.0117151934219399</v>
      </c>
      <c r="W5" s="1">
        <v>3.9001137651663988E-5</v>
      </c>
      <c r="X5">
        <v>3.5</v>
      </c>
      <c r="Y5" s="1">
        <v>0.44687500000000002</v>
      </c>
    </row>
    <row r="6" spans="1:25">
      <c r="B6" t="str">
        <f t="shared" si="0"/>
        <v>C</v>
      </c>
      <c r="C6" t="s">
        <v>7</v>
      </c>
      <c r="D6" t="str">
        <f t="shared" si="1"/>
        <v>C-公募发行资金</v>
      </c>
      <c r="E6" t="s">
        <v>166</v>
      </c>
      <c r="F6" t="s">
        <v>167</v>
      </c>
      <c r="G6" t="s">
        <v>168</v>
      </c>
      <c r="H6">
        <v>0</v>
      </c>
      <c r="I6">
        <v>0</v>
      </c>
      <c r="J6">
        <v>0.5</v>
      </c>
      <c r="K6">
        <v>0.5</v>
      </c>
      <c r="L6">
        <v>1</v>
      </c>
      <c r="M6" t="b">
        <v>1</v>
      </c>
      <c r="N6" t="b">
        <v>1</v>
      </c>
      <c r="O6" t="b">
        <v>0</v>
      </c>
      <c r="P6" t="b">
        <v>0</v>
      </c>
      <c r="Q6" t="b">
        <v>0</v>
      </c>
      <c r="R6" t="b">
        <v>1</v>
      </c>
      <c r="S6" t="b">
        <v>1</v>
      </c>
      <c r="T6">
        <v>4</v>
      </c>
      <c r="U6" s="1">
        <v>0.51982334830255483</v>
      </c>
      <c r="V6" s="1">
        <v>1.009627166146061</v>
      </c>
      <c r="W6" s="1">
        <v>1.038352380259842E-3</v>
      </c>
      <c r="X6">
        <v>5</v>
      </c>
      <c r="Y6" s="1">
        <v>0.51354166666666656</v>
      </c>
    </row>
    <row r="7" spans="1:25">
      <c r="B7" t="str">
        <f t="shared" si="0"/>
        <v>C</v>
      </c>
      <c r="C7" t="s">
        <v>7</v>
      </c>
      <c r="D7" t="str">
        <f t="shared" si="1"/>
        <v>C-公募发行资金</v>
      </c>
      <c r="E7" t="s">
        <v>169</v>
      </c>
      <c r="F7" t="s">
        <v>170</v>
      </c>
      <c r="G7" t="s">
        <v>171</v>
      </c>
      <c r="H7">
        <v>0</v>
      </c>
      <c r="I7">
        <v>0</v>
      </c>
      <c r="J7">
        <v>0</v>
      </c>
      <c r="K7">
        <v>0</v>
      </c>
      <c r="L7">
        <v>0</v>
      </c>
      <c r="M7" t="b">
        <v>1</v>
      </c>
      <c r="N7" t="b">
        <v>1</v>
      </c>
      <c r="O7" t="b">
        <v>0</v>
      </c>
      <c r="P7" t="b">
        <v>0</v>
      </c>
      <c r="Q7" t="b">
        <v>1</v>
      </c>
      <c r="R7" t="b">
        <v>0</v>
      </c>
      <c r="S7" t="b">
        <v>1</v>
      </c>
      <c r="T7">
        <v>4</v>
      </c>
      <c r="U7" s="1">
        <v>0.52798863802612461</v>
      </c>
      <c r="V7" s="1">
        <v>0.98638853540702309</v>
      </c>
      <c r="W7" s="1">
        <v>1.125560215956009E-3</v>
      </c>
      <c r="X7">
        <v>4</v>
      </c>
      <c r="Y7" s="1">
        <v>0.5</v>
      </c>
    </row>
    <row r="8" spans="1:25">
      <c r="B8" t="str">
        <f t="shared" si="0"/>
        <v>C</v>
      </c>
      <c r="C8" t="s">
        <v>12</v>
      </c>
      <c r="D8" t="str">
        <f t="shared" si="1"/>
        <v>C-海外资金潜力</v>
      </c>
      <c r="E8" t="s">
        <v>172</v>
      </c>
      <c r="F8" t="s">
        <v>161</v>
      </c>
      <c r="G8" t="s">
        <v>173</v>
      </c>
      <c r="H8">
        <v>0</v>
      </c>
      <c r="I8">
        <v>1</v>
      </c>
      <c r="J8">
        <v>0.5</v>
      </c>
      <c r="K8">
        <v>0.5</v>
      </c>
      <c r="L8">
        <v>2</v>
      </c>
      <c r="M8" t="b">
        <v>1</v>
      </c>
      <c r="N8" t="b">
        <v>1</v>
      </c>
      <c r="O8" t="b">
        <v>0</v>
      </c>
      <c r="P8" t="b">
        <v>0</v>
      </c>
      <c r="Q8" t="b">
        <v>0</v>
      </c>
      <c r="R8" t="b">
        <v>0</v>
      </c>
      <c r="S8" t="b">
        <v>0</v>
      </c>
      <c r="T8">
        <v>2</v>
      </c>
      <c r="U8" s="1">
        <v>0.49384280327194319</v>
      </c>
      <c r="V8" s="1">
        <v>0.9844365256966775</v>
      </c>
      <c r="W8" s="1">
        <v>-4.7788826035954527E-4</v>
      </c>
      <c r="X8">
        <v>4</v>
      </c>
      <c r="Y8" s="1">
        <v>0.4458333333333333</v>
      </c>
    </row>
    <row r="9" spans="1:25">
      <c r="B9" t="str">
        <f t="shared" si="0"/>
        <v>C</v>
      </c>
      <c r="C9" t="s">
        <v>12</v>
      </c>
      <c r="D9" t="str">
        <f t="shared" si="1"/>
        <v>C-海外资金潜力</v>
      </c>
      <c r="E9" t="s">
        <v>174</v>
      </c>
      <c r="F9" t="s">
        <v>175</v>
      </c>
      <c r="G9" t="s">
        <v>176</v>
      </c>
      <c r="H9">
        <v>1</v>
      </c>
      <c r="I9">
        <v>1</v>
      </c>
      <c r="J9">
        <v>0.5</v>
      </c>
      <c r="K9">
        <v>0.5</v>
      </c>
      <c r="L9">
        <v>3</v>
      </c>
      <c r="M9" t="b">
        <v>1</v>
      </c>
      <c r="N9" t="b">
        <v>1</v>
      </c>
      <c r="O9" t="b">
        <v>0</v>
      </c>
      <c r="P9" t="b">
        <v>0</v>
      </c>
      <c r="Q9" t="b">
        <v>0</v>
      </c>
      <c r="R9" t="b">
        <v>0</v>
      </c>
      <c r="S9" t="b">
        <v>0</v>
      </c>
      <c r="T9">
        <v>2</v>
      </c>
      <c r="U9" s="1">
        <v>0.49540761138873712</v>
      </c>
      <c r="V9" s="1">
        <v>0.96222235015805246</v>
      </c>
      <c r="W9" s="1">
        <v>-6.6311118314036775E-4</v>
      </c>
      <c r="X9">
        <v>5</v>
      </c>
      <c r="Y9" s="1">
        <v>0.43958333333333333</v>
      </c>
    </row>
    <row r="10" spans="1:25">
      <c r="B10" t="str">
        <f t="shared" si="0"/>
        <v>C</v>
      </c>
      <c r="C10" t="s">
        <v>12</v>
      </c>
      <c r="D10" t="str">
        <f t="shared" si="1"/>
        <v>C-海外资金潜力</v>
      </c>
      <c r="E10" t="s">
        <v>177</v>
      </c>
      <c r="F10" t="s">
        <v>178</v>
      </c>
      <c r="G10" t="s">
        <v>179</v>
      </c>
      <c r="H10">
        <v>1</v>
      </c>
      <c r="I10">
        <v>1</v>
      </c>
      <c r="J10">
        <v>0.5</v>
      </c>
      <c r="K10">
        <v>0.5</v>
      </c>
      <c r="L10">
        <v>3</v>
      </c>
      <c r="M10" t="b">
        <v>1</v>
      </c>
      <c r="N10" t="b">
        <v>1</v>
      </c>
      <c r="O10" t="b">
        <v>0</v>
      </c>
      <c r="P10" t="b">
        <v>0</v>
      </c>
      <c r="Q10" t="b">
        <v>1</v>
      </c>
      <c r="R10" t="b">
        <v>0</v>
      </c>
      <c r="S10" t="b">
        <v>1</v>
      </c>
      <c r="T10">
        <v>4</v>
      </c>
      <c r="U10" s="1">
        <v>0.52387917323948963</v>
      </c>
      <c r="V10" s="1">
        <v>0.98537334787241693</v>
      </c>
      <c r="W10" s="1">
        <v>9.9130448020324602E-4</v>
      </c>
      <c r="X10">
        <v>7</v>
      </c>
      <c r="Y10" s="1">
        <v>0.51979166666666665</v>
      </c>
    </row>
    <row r="11" spans="1:25">
      <c r="A11" s="6">
        <v>1</v>
      </c>
      <c r="B11" t="str">
        <f t="shared" si="0"/>
        <v>C</v>
      </c>
      <c r="C11" t="s">
        <v>12</v>
      </c>
      <c r="D11" t="str">
        <f t="shared" si="1"/>
        <v>C-海外资金潜力</v>
      </c>
      <c r="E11" t="s">
        <v>180</v>
      </c>
      <c r="F11" t="s">
        <v>181</v>
      </c>
      <c r="G11" t="s">
        <v>182</v>
      </c>
      <c r="H11">
        <v>0</v>
      </c>
      <c r="I11">
        <v>1</v>
      </c>
      <c r="J11">
        <v>0.5</v>
      </c>
      <c r="K11">
        <v>0.5</v>
      </c>
      <c r="L11">
        <v>2</v>
      </c>
      <c r="M11" t="b">
        <v>1</v>
      </c>
      <c r="N11" t="b">
        <v>1</v>
      </c>
      <c r="O11" t="b">
        <v>0</v>
      </c>
      <c r="P11" t="b">
        <v>0</v>
      </c>
      <c r="Q11" t="b">
        <v>0</v>
      </c>
      <c r="R11" t="b">
        <v>1</v>
      </c>
      <c r="S11" t="b">
        <v>1</v>
      </c>
      <c r="T11">
        <v>4</v>
      </c>
      <c r="U11" s="1">
        <v>0.51543901828892236</v>
      </c>
      <c r="V11" s="1">
        <v>1.006876671767273</v>
      </c>
      <c r="W11" s="1">
        <v>7.8514553617242753E-4</v>
      </c>
      <c r="X11">
        <v>6</v>
      </c>
      <c r="Y11" s="1">
        <v>0.49791666666666662</v>
      </c>
    </row>
    <row r="12" spans="1:25">
      <c r="B12" t="str">
        <f t="shared" si="0"/>
        <v>C</v>
      </c>
      <c r="C12" t="s">
        <v>12</v>
      </c>
      <c r="D12" t="str">
        <f t="shared" si="1"/>
        <v>C-海外资金潜力</v>
      </c>
      <c r="E12" t="s">
        <v>183</v>
      </c>
      <c r="F12" t="s">
        <v>184</v>
      </c>
      <c r="G12" t="s">
        <v>185</v>
      </c>
      <c r="H12">
        <v>0</v>
      </c>
      <c r="I12">
        <v>0</v>
      </c>
      <c r="J12">
        <v>0.5</v>
      </c>
      <c r="K12">
        <v>0.5</v>
      </c>
      <c r="L12">
        <v>1</v>
      </c>
      <c r="M12" t="b">
        <v>1</v>
      </c>
      <c r="N12" t="b">
        <v>1</v>
      </c>
      <c r="O12" t="b">
        <v>0</v>
      </c>
      <c r="P12" t="b">
        <v>0</v>
      </c>
      <c r="Q12" t="b">
        <v>1</v>
      </c>
      <c r="R12" t="b">
        <v>0</v>
      </c>
      <c r="S12" t="b">
        <v>1</v>
      </c>
      <c r="T12">
        <v>4</v>
      </c>
      <c r="U12" s="1">
        <v>0.5343890154693971</v>
      </c>
      <c r="V12" s="1">
        <v>0.98268801860899413</v>
      </c>
      <c r="W12" s="1">
        <v>1.321390774938816E-3</v>
      </c>
      <c r="X12">
        <v>5</v>
      </c>
      <c r="Y12" s="1">
        <v>0.49791666666666667</v>
      </c>
    </row>
    <row r="13" spans="1:25">
      <c r="B13" t="str">
        <f t="shared" si="0"/>
        <v>C</v>
      </c>
      <c r="C13" t="s">
        <v>12</v>
      </c>
      <c r="D13" t="str">
        <f t="shared" si="1"/>
        <v>C-海外资金潜力</v>
      </c>
      <c r="E13" t="s">
        <v>186</v>
      </c>
      <c r="F13" t="s">
        <v>187</v>
      </c>
      <c r="G13" t="s">
        <v>188</v>
      </c>
      <c r="H13">
        <v>0</v>
      </c>
      <c r="I13">
        <v>0</v>
      </c>
      <c r="J13">
        <v>0.5</v>
      </c>
      <c r="K13">
        <v>0</v>
      </c>
      <c r="L13">
        <v>0.5</v>
      </c>
      <c r="M13" t="b">
        <v>1</v>
      </c>
      <c r="N13" t="b">
        <v>1</v>
      </c>
      <c r="O13" t="b">
        <v>0</v>
      </c>
      <c r="P13" t="b">
        <v>0</v>
      </c>
      <c r="Q13" t="b">
        <v>1</v>
      </c>
      <c r="R13" t="b">
        <v>0</v>
      </c>
      <c r="S13" t="b">
        <v>1</v>
      </c>
      <c r="T13">
        <v>4</v>
      </c>
      <c r="U13" s="1">
        <v>0.52827098970285402</v>
      </c>
      <c r="V13" s="1">
        <v>0.98858073553840686</v>
      </c>
      <c r="W13" s="1">
        <v>1.1018944318788211E-3</v>
      </c>
      <c r="X13">
        <v>4.5</v>
      </c>
      <c r="Y13" s="1">
        <v>0.51875000000000004</v>
      </c>
    </row>
    <row r="14" spans="1:25">
      <c r="B14" t="str">
        <f t="shared" si="0"/>
        <v>C</v>
      </c>
      <c r="C14" t="s">
        <v>12</v>
      </c>
      <c r="D14" t="str">
        <f t="shared" si="1"/>
        <v>C-海外资金潜力</v>
      </c>
      <c r="E14" t="s">
        <v>189</v>
      </c>
      <c r="F14" t="s">
        <v>190</v>
      </c>
      <c r="G14" t="s">
        <v>191</v>
      </c>
      <c r="H14">
        <v>0</v>
      </c>
      <c r="I14">
        <v>1</v>
      </c>
      <c r="J14">
        <v>0.5</v>
      </c>
      <c r="K14">
        <v>0.5</v>
      </c>
      <c r="L14">
        <v>2</v>
      </c>
      <c r="M14" t="b">
        <v>1</v>
      </c>
      <c r="N14" t="b">
        <v>1</v>
      </c>
      <c r="O14" t="b">
        <v>0</v>
      </c>
      <c r="P14" t="b">
        <v>0</v>
      </c>
      <c r="Q14" t="b">
        <v>1</v>
      </c>
      <c r="R14" t="b">
        <v>0</v>
      </c>
      <c r="S14" t="b">
        <v>1</v>
      </c>
      <c r="T14">
        <v>4</v>
      </c>
      <c r="U14" s="1">
        <v>0.52794703675177945</v>
      </c>
      <c r="V14" s="1">
        <v>0.98179230108441362</v>
      </c>
      <c r="W14" s="1">
        <v>1.008617628717345E-3</v>
      </c>
      <c r="X14">
        <v>6</v>
      </c>
      <c r="Y14" s="1">
        <v>0.51041666666666674</v>
      </c>
    </row>
    <row r="15" spans="1:25">
      <c r="B15" t="str">
        <f t="shared" si="0"/>
        <v>C</v>
      </c>
      <c r="C15" t="s">
        <v>12</v>
      </c>
      <c r="D15" t="str">
        <f t="shared" si="1"/>
        <v>C-海外资金潜力</v>
      </c>
      <c r="E15" t="s">
        <v>192</v>
      </c>
      <c r="F15" t="s">
        <v>193</v>
      </c>
      <c r="G15" t="s">
        <v>194</v>
      </c>
      <c r="H15">
        <v>0</v>
      </c>
      <c r="I15">
        <v>1</v>
      </c>
      <c r="J15">
        <v>0</v>
      </c>
      <c r="K15">
        <v>0</v>
      </c>
      <c r="L15">
        <v>1</v>
      </c>
      <c r="M15" t="b">
        <v>1</v>
      </c>
      <c r="N15" t="b">
        <v>1</v>
      </c>
      <c r="O15" t="b">
        <v>0</v>
      </c>
      <c r="P15" t="b">
        <v>0</v>
      </c>
      <c r="Q15" t="b">
        <v>1</v>
      </c>
      <c r="R15" t="b">
        <v>0</v>
      </c>
      <c r="S15" t="b">
        <v>1</v>
      </c>
      <c r="T15">
        <v>4</v>
      </c>
      <c r="U15" s="1">
        <v>0.52515740871828842</v>
      </c>
      <c r="V15" s="1">
        <v>0.97707817347591841</v>
      </c>
      <c r="W15" s="1">
        <v>8.3981083528377539E-4</v>
      </c>
      <c r="X15">
        <v>5</v>
      </c>
      <c r="Y15" s="1">
        <v>0.49583333333333329</v>
      </c>
    </row>
    <row r="16" spans="1:25">
      <c r="A16" s="6" t="s">
        <v>195</v>
      </c>
      <c r="B16" t="str">
        <f t="shared" si="0"/>
        <v>C</v>
      </c>
      <c r="C16" t="s">
        <v>15</v>
      </c>
      <c r="D16" t="str">
        <f t="shared" si="1"/>
        <v>C-散户入市情绪</v>
      </c>
      <c r="E16" t="s">
        <v>196</v>
      </c>
      <c r="F16" t="s">
        <v>197</v>
      </c>
      <c r="G16" t="s">
        <v>198</v>
      </c>
      <c r="H16">
        <v>0</v>
      </c>
      <c r="I16">
        <v>0</v>
      </c>
      <c r="J16">
        <v>0</v>
      </c>
      <c r="K16">
        <v>0.5</v>
      </c>
      <c r="L16">
        <v>0.5</v>
      </c>
      <c r="M16" t="b">
        <v>1</v>
      </c>
      <c r="N16" t="b">
        <v>1</v>
      </c>
      <c r="O16" t="b">
        <v>0</v>
      </c>
      <c r="P16" t="b">
        <v>0</v>
      </c>
      <c r="Q16" t="b">
        <v>0</v>
      </c>
      <c r="R16" t="b">
        <v>0</v>
      </c>
      <c r="S16" t="b">
        <v>1</v>
      </c>
      <c r="T16">
        <v>3</v>
      </c>
      <c r="U16" s="1">
        <v>0.51576501592832913</v>
      </c>
      <c r="V16" s="1">
        <v>0.99745021103514198</v>
      </c>
      <c r="W16" s="1">
        <v>6.6623261856256738E-4</v>
      </c>
      <c r="X16">
        <v>3.5</v>
      </c>
      <c r="Y16" s="1">
        <v>0.48333333333333328</v>
      </c>
    </row>
    <row r="17" spans="1:25">
      <c r="B17" t="str">
        <f t="shared" si="0"/>
        <v>C</v>
      </c>
      <c r="C17" t="s">
        <v>15</v>
      </c>
      <c r="D17" t="str">
        <f t="shared" si="1"/>
        <v>C-散户入市情绪</v>
      </c>
      <c r="E17" t="s">
        <v>199</v>
      </c>
      <c r="F17" t="s">
        <v>200</v>
      </c>
      <c r="G17" t="s">
        <v>201</v>
      </c>
      <c r="H17">
        <v>0</v>
      </c>
      <c r="I17">
        <v>0</v>
      </c>
      <c r="J17">
        <v>0</v>
      </c>
      <c r="K17">
        <v>0.5</v>
      </c>
      <c r="L17">
        <v>0.5</v>
      </c>
      <c r="M17" t="b">
        <v>1</v>
      </c>
      <c r="N17" t="b">
        <v>1</v>
      </c>
      <c r="O17" t="b">
        <v>0</v>
      </c>
      <c r="P17" t="b">
        <v>0</v>
      </c>
      <c r="Q17" t="b">
        <v>1</v>
      </c>
      <c r="R17" t="b">
        <v>0</v>
      </c>
      <c r="S17" t="b">
        <v>1</v>
      </c>
      <c r="T17">
        <v>4</v>
      </c>
      <c r="U17" s="1">
        <v>0.52542088936328457</v>
      </c>
      <c r="V17" s="1">
        <v>0.97825369395038175</v>
      </c>
      <c r="W17" s="1">
        <v>8.972434375681095E-4</v>
      </c>
      <c r="X17">
        <v>4.5</v>
      </c>
      <c r="Y17" s="1">
        <v>0.50312500000000004</v>
      </c>
    </row>
    <row r="18" spans="1:25">
      <c r="B18" t="str">
        <f t="shared" si="0"/>
        <v>C</v>
      </c>
      <c r="C18" t="s">
        <v>15</v>
      </c>
      <c r="D18" t="str">
        <f t="shared" si="1"/>
        <v>C-散户入市情绪</v>
      </c>
      <c r="E18" t="s">
        <v>202</v>
      </c>
      <c r="F18" t="s">
        <v>203</v>
      </c>
      <c r="G18" t="s">
        <v>204</v>
      </c>
      <c r="H18">
        <v>1</v>
      </c>
      <c r="I18">
        <v>0</v>
      </c>
      <c r="J18">
        <v>0</v>
      </c>
      <c r="K18">
        <v>0</v>
      </c>
      <c r="L18">
        <v>1</v>
      </c>
      <c r="M18" t="b">
        <v>1</v>
      </c>
      <c r="N18" t="b">
        <v>1</v>
      </c>
      <c r="O18" t="b">
        <v>0</v>
      </c>
      <c r="P18" t="b">
        <v>0</v>
      </c>
      <c r="Q18" t="b">
        <v>0</v>
      </c>
      <c r="R18" t="b">
        <v>0</v>
      </c>
      <c r="S18" t="b">
        <v>1</v>
      </c>
      <c r="T18">
        <v>3</v>
      </c>
      <c r="U18" s="1">
        <v>0.51806917836728106</v>
      </c>
      <c r="V18" s="1">
        <v>0.98982087614851699</v>
      </c>
      <c r="W18" s="1">
        <v>6.8883743417637896E-4</v>
      </c>
      <c r="X18">
        <v>4</v>
      </c>
      <c r="Y18" s="1">
        <v>0.49687500000000001</v>
      </c>
    </row>
    <row r="19" spans="1:25">
      <c r="A19" s="6" t="s">
        <v>205</v>
      </c>
      <c r="B19" t="str">
        <f t="shared" si="0"/>
        <v>C</v>
      </c>
      <c r="C19" t="s">
        <v>15</v>
      </c>
      <c r="D19" t="str">
        <f t="shared" si="1"/>
        <v>C-散户入市情绪</v>
      </c>
      <c r="E19" t="s">
        <v>206</v>
      </c>
      <c r="F19" t="s">
        <v>207</v>
      </c>
      <c r="G19" t="s">
        <v>208</v>
      </c>
      <c r="H19">
        <v>0</v>
      </c>
      <c r="I19">
        <v>1</v>
      </c>
      <c r="J19">
        <v>0</v>
      </c>
      <c r="K19">
        <v>0.5</v>
      </c>
      <c r="L19">
        <v>1.5</v>
      </c>
      <c r="M19" t="b">
        <v>1</v>
      </c>
      <c r="N19" t="b">
        <v>0</v>
      </c>
      <c r="O19" t="b">
        <v>0</v>
      </c>
      <c r="P19" t="b">
        <v>0</v>
      </c>
      <c r="Q19" t="b">
        <v>0</v>
      </c>
      <c r="R19" t="b">
        <v>0</v>
      </c>
      <c r="S19" t="b">
        <v>0</v>
      </c>
      <c r="T19">
        <v>1</v>
      </c>
      <c r="U19" s="1">
        <v>0.49515413710937678</v>
      </c>
      <c r="V19" s="1">
        <v>0.93085853299062848</v>
      </c>
      <c r="W19" s="1">
        <v>-1.040784429799158E-3</v>
      </c>
      <c r="X19">
        <v>2.5</v>
      </c>
      <c r="Y19" s="1">
        <v>0.41875000000000001</v>
      </c>
    </row>
    <row r="20" spans="1:25">
      <c r="A20" s="7"/>
      <c r="B20" s="2" t="str">
        <f t="shared" si="0"/>
        <v>C</v>
      </c>
      <c r="C20" s="2" t="s">
        <v>15</v>
      </c>
      <c r="D20" s="2" t="str">
        <f t="shared" si="1"/>
        <v>C-散户入市情绪</v>
      </c>
      <c r="E20" s="2" t="s">
        <v>209</v>
      </c>
      <c r="F20" s="2" t="s">
        <v>170</v>
      </c>
      <c r="G20" s="2" t="s">
        <v>210</v>
      </c>
      <c r="H20" s="2">
        <v>0</v>
      </c>
      <c r="I20" s="2">
        <v>1</v>
      </c>
      <c r="J20" s="2">
        <v>0.5</v>
      </c>
      <c r="K20" s="2">
        <v>0.5</v>
      </c>
      <c r="L20" s="2">
        <v>2</v>
      </c>
      <c r="M20" s="2" t="b">
        <v>1</v>
      </c>
      <c r="N20" s="2" t="b">
        <v>0</v>
      </c>
      <c r="O20" s="2" t="b">
        <v>0</v>
      </c>
      <c r="P20" s="2" t="b">
        <v>0</v>
      </c>
      <c r="Q20" s="2" t="b">
        <v>0</v>
      </c>
      <c r="R20" s="2" t="b">
        <v>0</v>
      </c>
      <c r="S20" s="2" t="b">
        <v>1</v>
      </c>
      <c r="T20" s="2">
        <v>2</v>
      </c>
      <c r="U20" s="3">
        <v>0.51800524687090133</v>
      </c>
      <c r="V20" s="3">
        <v>0.96692544288940652</v>
      </c>
      <c r="W20" s="3">
        <v>4.307954719285946E-4</v>
      </c>
      <c r="X20" s="2">
        <v>4</v>
      </c>
      <c r="Y20" s="3">
        <v>0.46979166666666672</v>
      </c>
    </row>
    <row r="21" spans="1:25">
      <c r="A21" s="6" t="s">
        <v>195</v>
      </c>
      <c r="B21" t="str">
        <f t="shared" si="0"/>
        <v>D</v>
      </c>
      <c r="C21" t="s">
        <v>19</v>
      </c>
      <c r="D21" t="str">
        <f t="shared" si="1"/>
        <v>D-企业融资环境</v>
      </c>
      <c r="E21" t="s">
        <v>211</v>
      </c>
      <c r="F21">
        <v>0</v>
      </c>
      <c r="G21" t="s">
        <v>212</v>
      </c>
      <c r="H21">
        <v>0</v>
      </c>
      <c r="I21">
        <v>1</v>
      </c>
      <c r="J21">
        <v>0.5</v>
      </c>
      <c r="K21">
        <v>0.5</v>
      </c>
      <c r="L21">
        <v>2</v>
      </c>
      <c r="M21" t="b">
        <v>1</v>
      </c>
      <c r="N21" t="b">
        <v>1</v>
      </c>
      <c r="O21" t="b">
        <v>0</v>
      </c>
      <c r="P21" t="b">
        <v>0</v>
      </c>
      <c r="Q21" t="b">
        <v>1</v>
      </c>
      <c r="R21" t="b">
        <v>0</v>
      </c>
      <c r="S21" t="b">
        <v>1</v>
      </c>
      <c r="T21">
        <v>4</v>
      </c>
      <c r="U21" s="1">
        <v>0.52522165759801021</v>
      </c>
      <c r="V21" s="1">
        <v>0.99378855904726149</v>
      </c>
      <c r="W21" s="1">
        <v>1.107535642556418E-3</v>
      </c>
      <c r="X21">
        <v>6</v>
      </c>
      <c r="Y21" s="1">
        <v>0.52604166666666674</v>
      </c>
    </row>
    <row r="22" spans="1:25">
      <c r="B22" t="str">
        <f t="shared" si="0"/>
        <v>D</v>
      </c>
      <c r="C22" t="s">
        <v>19</v>
      </c>
      <c r="D22" t="str">
        <f t="shared" si="1"/>
        <v>D-企业融资环境</v>
      </c>
      <c r="E22" t="s">
        <v>213</v>
      </c>
      <c r="F22" t="s">
        <v>214</v>
      </c>
      <c r="G22" t="s">
        <v>215</v>
      </c>
      <c r="H22">
        <v>0</v>
      </c>
      <c r="I22">
        <v>1</v>
      </c>
      <c r="J22">
        <v>0.5</v>
      </c>
      <c r="K22">
        <v>0.5</v>
      </c>
      <c r="L22">
        <v>2</v>
      </c>
      <c r="M22" t="b">
        <v>1</v>
      </c>
      <c r="N22" t="b">
        <v>1</v>
      </c>
      <c r="O22" t="b">
        <v>0</v>
      </c>
      <c r="P22" t="b">
        <v>0</v>
      </c>
      <c r="Q22" t="b">
        <v>0</v>
      </c>
      <c r="R22" t="b">
        <v>0</v>
      </c>
      <c r="S22" t="b">
        <v>0</v>
      </c>
      <c r="T22">
        <v>2</v>
      </c>
      <c r="U22" s="1">
        <v>0.50366389440431025</v>
      </c>
      <c r="V22" s="1">
        <v>0.9822248407953188</v>
      </c>
      <c r="W22" s="1">
        <v>-3.7362721861006902E-5</v>
      </c>
      <c r="X22">
        <v>4</v>
      </c>
      <c r="Y22" s="1">
        <v>0.45729166666666671</v>
      </c>
    </row>
    <row r="23" spans="1:25">
      <c r="B23" t="str">
        <f t="shared" si="0"/>
        <v>D</v>
      </c>
      <c r="C23" t="s">
        <v>19</v>
      </c>
      <c r="D23" t="str">
        <f t="shared" si="1"/>
        <v>D-企业融资环境</v>
      </c>
      <c r="E23" t="s">
        <v>216</v>
      </c>
      <c r="F23" t="s">
        <v>214</v>
      </c>
      <c r="G23" t="s">
        <v>217</v>
      </c>
      <c r="H23">
        <v>0</v>
      </c>
      <c r="I23">
        <v>1</v>
      </c>
      <c r="J23">
        <v>0.5</v>
      </c>
      <c r="K23">
        <v>0.5</v>
      </c>
      <c r="L23">
        <v>2</v>
      </c>
      <c r="M23" t="b">
        <v>1</v>
      </c>
      <c r="N23" t="b">
        <v>1</v>
      </c>
      <c r="O23" t="b">
        <v>0</v>
      </c>
      <c r="P23" t="b">
        <v>0</v>
      </c>
      <c r="Q23" t="b">
        <v>0</v>
      </c>
      <c r="R23" t="b">
        <v>0</v>
      </c>
      <c r="S23" t="b">
        <v>0</v>
      </c>
      <c r="T23">
        <v>2</v>
      </c>
      <c r="U23" s="1">
        <v>0.51024277325899881</v>
      </c>
      <c r="V23" s="1">
        <v>0.95923765719123644</v>
      </c>
      <c r="W23" s="1">
        <v>-1.6793373568709319E-5</v>
      </c>
      <c r="X23">
        <v>4</v>
      </c>
      <c r="Y23" s="1">
        <v>0.46458333333333329</v>
      </c>
    </row>
    <row r="24" spans="1:25">
      <c r="A24" s="6" t="s">
        <v>195</v>
      </c>
      <c r="B24" t="str">
        <f t="shared" si="0"/>
        <v>D</v>
      </c>
      <c r="C24" t="s">
        <v>19</v>
      </c>
      <c r="D24" t="str">
        <f t="shared" si="1"/>
        <v>D-企业融资环境</v>
      </c>
      <c r="E24" t="s">
        <v>218</v>
      </c>
      <c r="F24" t="s">
        <v>214</v>
      </c>
      <c r="G24" t="s">
        <v>219</v>
      </c>
      <c r="H24">
        <v>0</v>
      </c>
      <c r="I24">
        <v>0</v>
      </c>
      <c r="J24">
        <v>0</v>
      </c>
      <c r="K24">
        <v>0</v>
      </c>
      <c r="L24">
        <v>0</v>
      </c>
      <c r="M24" t="b">
        <v>1</v>
      </c>
      <c r="N24" t="b">
        <v>1</v>
      </c>
      <c r="O24" t="b">
        <v>0</v>
      </c>
      <c r="P24" t="b">
        <v>0</v>
      </c>
      <c r="Q24" t="b">
        <v>0</v>
      </c>
      <c r="R24" t="b">
        <v>0</v>
      </c>
      <c r="S24" t="b">
        <v>1</v>
      </c>
      <c r="T24">
        <v>3</v>
      </c>
      <c r="U24" s="1">
        <v>0.50902246326408029</v>
      </c>
      <c r="V24" s="1">
        <v>0.9728240975197352</v>
      </c>
      <c r="W24" s="1">
        <v>9.0926252504199695E-5</v>
      </c>
      <c r="X24">
        <v>3</v>
      </c>
      <c r="Y24" s="1">
        <v>0.46666666666666667</v>
      </c>
    </row>
    <row r="25" spans="1:25">
      <c r="B25" t="str">
        <f t="shared" si="0"/>
        <v>D</v>
      </c>
      <c r="C25" t="s">
        <v>19</v>
      </c>
      <c r="D25" t="str">
        <f t="shared" si="1"/>
        <v>D-企业融资环境</v>
      </c>
      <c r="E25" t="s">
        <v>220</v>
      </c>
      <c r="F25" t="s">
        <v>221</v>
      </c>
      <c r="G25" t="s">
        <v>222</v>
      </c>
      <c r="H25">
        <v>0</v>
      </c>
      <c r="I25">
        <v>0</v>
      </c>
      <c r="J25">
        <v>0</v>
      </c>
      <c r="K25">
        <v>0.5</v>
      </c>
      <c r="L25">
        <v>0.5</v>
      </c>
      <c r="M25" t="b">
        <v>1</v>
      </c>
      <c r="N25" t="b">
        <v>1</v>
      </c>
      <c r="O25" t="b">
        <v>0</v>
      </c>
      <c r="P25" t="b">
        <v>0</v>
      </c>
      <c r="Q25" t="b">
        <v>0</v>
      </c>
      <c r="R25" t="b">
        <v>0</v>
      </c>
      <c r="S25" t="b">
        <v>1</v>
      </c>
      <c r="T25">
        <v>3</v>
      </c>
      <c r="U25" s="1">
        <v>0.51923384750902868</v>
      </c>
      <c r="V25" s="1">
        <v>0.99870414254428008</v>
      </c>
      <c r="W25" s="1">
        <v>8.8458188348579272E-4</v>
      </c>
      <c r="X25">
        <v>3.5</v>
      </c>
      <c r="Y25" s="1">
        <v>0.53229166666666661</v>
      </c>
    </row>
    <row r="26" spans="1:25">
      <c r="B26" t="str">
        <f t="shared" si="0"/>
        <v>D</v>
      </c>
      <c r="C26" t="s">
        <v>19</v>
      </c>
      <c r="D26" t="str">
        <f t="shared" si="1"/>
        <v>D-企业融资环境</v>
      </c>
      <c r="E26" t="s">
        <v>223</v>
      </c>
      <c r="F26" t="s">
        <v>221</v>
      </c>
      <c r="G26" t="s">
        <v>224</v>
      </c>
      <c r="H26">
        <v>0</v>
      </c>
      <c r="I26">
        <v>0</v>
      </c>
      <c r="J26">
        <v>0.5</v>
      </c>
      <c r="K26">
        <v>0.5</v>
      </c>
      <c r="L26">
        <v>1</v>
      </c>
      <c r="M26" t="b">
        <v>1</v>
      </c>
      <c r="N26" t="b">
        <v>0</v>
      </c>
      <c r="O26" t="b">
        <v>0</v>
      </c>
      <c r="P26" t="b">
        <v>0</v>
      </c>
      <c r="Q26" t="b">
        <v>0</v>
      </c>
      <c r="R26" t="b">
        <v>1</v>
      </c>
      <c r="S26" t="b">
        <v>1</v>
      </c>
      <c r="T26">
        <v>3</v>
      </c>
      <c r="U26" s="1">
        <v>0.50848035593284424</v>
      </c>
      <c r="V26" s="1">
        <v>1.000145368038369</v>
      </c>
      <c r="W26" s="1">
        <v>3.8398254880229468E-4</v>
      </c>
      <c r="X26">
        <v>4</v>
      </c>
      <c r="Y26" s="1">
        <v>0.47291666666666671</v>
      </c>
    </row>
    <row r="27" spans="1:25">
      <c r="B27" t="str">
        <f t="shared" si="0"/>
        <v>D</v>
      </c>
      <c r="C27" t="s">
        <v>19</v>
      </c>
      <c r="D27" t="str">
        <f t="shared" si="1"/>
        <v>D-企业融资环境</v>
      </c>
      <c r="E27" t="s">
        <v>225</v>
      </c>
      <c r="F27" t="s">
        <v>226</v>
      </c>
      <c r="G27" t="s">
        <v>227</v>
      </c>
      <c r="H27">
        <v>0</v>
      </c>
      <c r="I27">
        <v>1</v>
      </c>
      <c r="J27">
        <v>0.5</v>
      </c>
      <c r="K27">
        <v>0.5</v>
      </c>
      <c r="L27">
        <v>2</v>
      </c>
      <c r="M27" t="b">
        <v>1</v>
      </c>
      <c r="N27" t="b">
        <v>1</v>
      </c>
      <c r="O27" t="b">
        <v>0</v>
      </c>
      <c r="P27" t="b">
        <v>0</v>
      </c>
      <c r="Q27" t="b">
        <v>1</v>
      </c>
      <c r="R27" t="b">
        <v>0</v>
      </c>
      <c r="S27" t="b">
        <v>1</v>
      </c>
      <c r="T27">
        <v>4</v>
      </c>
      <c r="U27" s="1">
        <v>0.52283963427858349</v>
      </c>
      <c r="V27" s="1">
        <v>0.99748696362744005</v>
      </c>
      <c r="W27" s="1">
        <v>1.043839590745026E-3</v>
      </c>
      <c r="X27">
        <v>6</v>
      </c>
      <c r="Y27" s="1">
        <v>0.53020833333333339</v>
      </c>
    </row>
    <row r="28" spans="1:25">
      <c r="B28" t="str">
        <f t="shared" si="0"/>
        <v>D</v>
      </c>
      <c r="C28" t="s">
        <v>22</v>
      </c>
      <c r="D28" t="str">
        <f t="shared" si="1"/>
        <v>D-货币信贷转换</v>
      </c>
      <c r="E28" t="s">
        <v>228</v>
      </c>
      <c r="F28" t="s">
        <v>229</v>
      </c>
      <c r="G28" t="s">
        <v>230</v>
      </c>
      <c r="H28">
        <v>0</v>
      </c>
      <c r="I28">
        <v>1</v>
      </c>
      <c r="J28">
        <v>0.5</v>
      </c>
      <c r="K28">
        <v>0.5</v>
      </c>
      <c r="L28">
        <v>2</v>
      </c>
      <c r="M28" t="b">
        <v>1</v>
      </c>
      <c r="N28" t="b">
        <v>1</v>
      </c>
      <c r="O28" t="b">
        <v>0</v>
      </c>
      <c r="P28" t="b">
        <v>0</v>
      </c>
      <c r="Q28" t="b">
        <v>1</v>
      </c>
      <c r="R28" t="b">
        <v>0</v>
      </c>
      <c r="S28" t="b">
        <v>1</v>
      </c>
      <c r="T28">
        <v>4</v>
      </c>
      <c r="U28" s="1">
        <v>0.53014088039019058</v>
      </c>
      <c r="V28" s="1">
        <v>0.98786014552948254</v>
      </c>
      <c r="W28" s="1">
        <v>1.237346060837505E-3</v>
      </c>
      <c r="X28">
        <v>6</v>
      </c>
      <c r="Y28" s="1">
        <v>0.4958333333333334</v>
      </c>
    </row>
    <row r="29" spans="1:25">
      <c r="B29" t="str">
        <f t="shared" si="0"/>
        <v>D</v>
      </c>
      <c r="C29" t="s">
        <v>22</v>
      </c>
      <c r="D29" t="str">
        <f t="shared" si="1"/>
        <v>D-货币信贷转换</v>
      </c>
      <c r="E29" t="s">
        <v>231</v>
      </c>
      <c r="F29" t="s">
        <v>232</v>
      </c>
      <c r="G29" t="s">
        <v>233</v>
      </c>
      <c r="H29">
        <v>1</v>
      </c>
      <c r="I29">
        <v>0</v>
      </c>
      <c r="J29">
        <v>0</v>
      </c>
      <c r="K29">
        <v>0</v>
      </c>
      <c r="L29">
        <v>1</v>
      </c>
      <c r="M29" t="b">
        <v>1</v>
      </c>
      <c r="N29" t="b">
        <v>1</v>
      </c>
      <c r="O29" t="b">
        <v>0</v>
      </c>
      <c r="P29" t="b">
        <v>0</v>
      </c>
      <c r="Q29" t="b">
        <v>1</v>
      </c>
      <c r="R29" t="b">
        <v>0</v>
      </c>
      <c r="S29" t="b">
        <v>1</v>
      </c>
      <c r="T29">
        <v>4</v>
      </c>
      <c r="U29" s="1">
        <v>0.52356449460378263</v>
      </c>
      <c r="V29" s="1">
        <v>0.99536797911248276</v>
      </c>
      <c r="W29" s="1">
        <v>9.9136101859076398E-4</v>
      </c>
      <c r="X29">
        <v>5</v>
      </c>
      <c r="Y29" s="1">
        <v>0.49895833333333328</v>
      </c>
    </row>
    <row r="30" spans="1:25">
      <c r="A30" s="6" t="s">
        <v>234</v>
      </c>
      <c r="B30" t="str">
        <f t="shared" si="0"/>
        <v>D</v>
      </c>
      <c r="C30" t="s">
        <v>22</v>
      </c>
      <c r="D30" t="str">
        <f t="shared" si="1"/>
        <v>D-货币信贷转换</v>
      </c>
      <c r="E30" t="s">
        <v>235</v>
      </c>
      <c r="F30" t="s">
        <v>236</v>
      </c>
      <c r="G30" t="s">
        <v>237</v>
      </c>
      <c r="H30">
        <v>0</v>
      </c>
      <c r="I30">
        <v>0</v>
      </c>
      <c r="J30">
        <v>0</v>
      </c>
      <c r="K30">
        <v>0.5</v>
      </c>
      <c r="L30">
        <v>0.5</v>
      </c>
      <c r="M30" t="b">
        <v>0</v>
      </c>
      <c r="N30" t="b">
        <v>1</v>
      </c>
      <c r="O30" t="b">
        <v>0</v>
      </c>
      <c r="P30" t="b">
        <v>0</v>
      </c>
      <c r="Q30" t="b">
        <v>1</v>
      </c>
      <c r="R30" t="b">
        <v>0</v>
      </c>
      <c r="S30" t="b">
        <v>1</v>
      </c>
      <c r="T30">
        <v>3</v>
      </c>
      <c r="U30" s="1">
        <v>0.52007096023534793</v>
      </c>
      <c r="V30" s="1">
        <v>0.99054918511467649</v>
      </c>
      <c r="W30" s="1">
        <v>8.736703711149079E-4</v>
      </c>
      <c r="X30">
        <v>3.5</v>
      </c>
      <c r="Y30" s="1">
        <v>0.50520833333333337</v>
      </c>
    </row>
    <row r="31" spans="1:25">
      <c r="B31" t="str">
        <f t="shared" si="0"/>
        <v>D</v>
      </c>
      <c r="C31" t="s">
        <v>26</v>
      </c>
      <c r="D31" t="str">
        <f t="shared" si="1"/>
        <v>D-贷款扩张冲击</v>
      </c>
      <c r="E31" t="s">
        <v>238</v>
      </c>
      <c r="F31" t="s">
        <v>239</v>
      </c>
      <c r="G31" t="s">
        <v>240</v>
      </c>
      <c r="H31">
        <v>0</v>
      </c>
      <c r="I31">
        <v>1</v>
      </c>
      <c r="J31">
        <v>0.5</v>
      </c>
      <c r="K31">
        <v>0.5</v>
      </c>
      <c r="L31">
        <v>2</v>
      </c>
      <c r="M31" t="b">
        <v>1</v>
      </c>
      <c r="N31" t="b">
        <v>1</v>
      </c>
      <c r="O31" t="b">
        <v>0</v>
      </c>
      <c r="P31" t="b">
        <v>0</v>
      </c>
      <c r="Q31" t="b">
        <v>1</v>
      </c>
      <c r="R31" t="b">
        <v>0</v>
      </c>
      <c r="S31" t="b">
        <v>1</v>
      </c>
      <c r="T31">
        <v>4</v>
      </c>
      <c r="U31" s="1">
        <v>0.52746307330929876</v>
      </c>
      <c r="V31" s="1">
        <v>0.96965711528134757</v>
      </c>
      <c r="W31" s="1">
        <v>8.6208680518556728E-4</v>
      </c>
      <c r="X31">
        <v>6</v>
      </c>
      <c r="Y31" s="1">
        <v>0.49270833333333341</v>
      </c>
    </row>
    <row r="32" spans="1:25">
      <c r="B32" t="str">
        <f t="shared" si="0"/>
        <v>D</v>
      </c>
      <c r="C32" t="s">
        <v>26</v>
      </c>
      <c r="D32" t="str">
        <f t="shared" si="1"/>
        <v>D-贷款扩张冲击</v>
      </c>
      <c r="E32" t="s">
        <v>241</v>
      </c>
      <c r="F32" t="s">
        <v>242</v>
      </c>
      <c r="G32" t="s">
        <v>243</v>
      </c>
      <c r="H32">
        <v>0</v>
      </c>
      <c r="I32">
        <v>0</v>
      </c>
      <c r="J32">
        <v>0</v>
      </c>
      <c r="K32">
        <v>0</v>
      </c>
      <c r="L32">
        <v>0</v>
      </c>
      <c r="M32" t="b">
        <v>1</v>
      </c>
      <c r="N32" t="b">
        <v>1</v>
      </c>
      <c r="O32" t="b">
        <v>0</v>
      </c>
      <c r="P32" t="b">
        <v>0</v>
      </c>
      <c r="Q32" t="b">
        <v>1</v>
      </c>
      <c r="R32" t="b">
        <v>0</v>
      </c>
      <c r="S32" t="b">
        <v>1</v>
      </c>
      <c r="T32">
        <v>4</v>
      </c>
      <c r="U32" s="1">
        <v>0.5299945357090986</v>
      </c>
      <c r="V32" s="1">
        <v>0.98512135282329916</v>
      </c>
      <c r="W32" s="1">
        <v>1.1321794851306831E-3</v>
      </c>
      <c r="X32">
        <v>4</v>
      </c>
      <c r="Y32" s="1">
        <v>0.5</v>
      </c>
    </row>
    <row r="33" spans="1:25">
      <c r="B33" t="str">
        <f t="shared" si="0"/>
        <v>D</v>
      </c>
      <c r="C33" t="s">
        <v>26</v>
      </c>
      <c r="D33" t="str">
        <f t="shared" si="1"/>
        <v>D-贷款扩张冲击</v>
      </c>
      <c r="E33" t="s">
        <v>244</v>
      </c>
      <c r="F33" t="s">
        <v>245</v>
      </c>
      <c r="G33" t="s">
        <v>246</v>
      </c>
      <c r="H33">
        <v>0</v>
      </c>
      <c r="I33">
        <v>0</v>
      </c>
      <c r="J33">
        <v>0</v>
      </c>
      <c r="K33">
        <v>0</v>
      </c>
      <c r="L33">
        <v>0</v>
      </c>
      <c r="M33" t="b">
        <v>0</v>
      </c>
      <c r="N33" t="b">
        <v>1</v>
      </c>
      <c r="O33" t="b">
        <v>0</v>
      </c>
      <c r="P33" t="b">
        <v>0</v>
      </c>
      <c r="Q33" t="b">
        <v>1</v>
      </c>
      <c r="R33" t="b">
        <v>0</v>
      </c>
      <c r="S33" t="b">
        <v>1</v>
      </c>
      <c r="T33">
        <v>3</v>
      </c>
      <c r="U33" s="1">
        <v>0.52440429771648012</v>
      </c>
      <c r="V33" s="1">
        <v>0.98858428749638594</v>
      </c>
      <c r="W33" s="1">
        <v>1.0661592368144479E-3</v>
      </c>
      <c r="X33">
        <v>3</v>
      </c>
      <c r="Y33" s="1">
        <v>0.51041666666666663</v>
      </c>
    </row>
    <row r="34" spans="1:25">
      <c r="B34" t="str">
        <f t="shared" si="0"/>
        <v>D</v>
      </c>
      <c r="C34" t="s">
        <v>26</v>
      </c>
      <c r="D34" t="str">
        <f t="shared" si="1"/>
        <v>D-贷款扩张冲击</v>
      </c>
      <c r="E34" t="s">
        <v>247</v>
      </c>
      <c r="F34" t="s">
        <v>248</v>
      </c>
      <c r="G34" t="s">
        <v>249</v>
      </c>
      <c r="H34">
        <v>0</v>
      </c>
      <c r="I34">
        <v>0</v>
      </c>
      <c r="J34">
        <v>0.5</v>
      </c>
      <c r="K34">
        <v>0.5</v>
      </c>
      <c r="L34">
        <v>1</v>
      </c>
      <c r="M34" t="b">
        <v>1</v>
      </c>
      <c r="N34" t="b">
        <v>1</v>
      </c>
      <c r="O34" t="b">
        <v>0</v>
      </c>
      <c r="P34" t="b">
        <v>0</v>
      </c>
      <c r="Q34" t="b">
        <v>1</v>
      </c>
      <c r="R34" t="b">
        <v>1</v>
      </c>
      <c r="S34" t="b">
        <v>1</v>
      </c>
      <c r="T34">
        <v>5</v>
      </c>
      <c r="U34" s="1">
        <v>0.53066116638131466</v>
      </c>
      <c r="V34" s="1">
        <v>1.001214605754448</v>
      </c>
      <c r="W34" s="1">
        <v>1.3931585679969999E-3</v>
      </c>
      <c r="X34">
        <v>6</v>
      </c>
      <c r="Y34" s="1">
        <v>0.53333333333333333</v>
      </c>
    </row>
    <row r="35" spans="1:25">
      <c r="A35" s="7"/>
      <c r="B35" s="2" t="str">
        <f t="shared" si="0"/>
        <v>D</v>
      </c>
      <c r="C35" s="2" t="s">
        <v>26</v>
      </c>
      <c r="D35" s="2" t="str">
        <f t="shared" si="1"/>
        <v>D-贷款扩张冲击</v>
      </c>
      <c r="E35" s="2" t="s">
        <v>250</v>
      </c>
      <c r="F35" s="2" t="s">
        <v>251</v>
      </c>
      <c r="G35" s="2" t="s">
        <v>252</v>
      </c>
      <c r="H35" s="2">
        <v>0</v>
      </c>
      <c r="I35" s="2">
        <v>0</v>
      </c>
      <c r="J35" s="2">
        <v>0</v>
      </c>
      <c r="K35" s="2">
        <v>0.5</v>
      </c>
      <c r="L35" s="2">
        <v>0.5</v>
      </c>
      <c r="M35" s="2" t="b">
        <v>1</v>
      </c>
      <c r="N35" s="2" t="b">
        <v>1</v>
      </c>
      <c r="O35" s="2" t="b">
        <v>0</v>
      </c>
      <c r="P35" s="2" t="b">
        <v>0</v>
      </c>
      <c r="Q35" s="2" t="b">
        <v>1</v>
      </c>
      <c r="R35" s="2" t="b">
        <v>0</v>
      </c>
      <c r="S35" s="2" t="b">
        <v>1</v>
      </c>
      <c r="T35" s="2">
        <v>4</v>
      </c>
      <c r="U35" s="3">
        <v>0.52463418706513487</v>
      </c>
      <c r="V35" s="3">
        <v>0.99335520899653706</v>
      </c>
      <c r="W35" s="3">
        <v>1.0542457502504051E-3</v>
      </c>
      <c r="X35" s="2">
        <v>4.5</v>
      </c>
      <c r="Y35" s="3">
        <v>0.49791666666666662</v>
      </c>
    </row>
    <row r="36" spans="1:25">
      <c r="B36" t="str">
        <f t="shared" si="0"/>
        <v>F</v>
      </c>
      <c r="C36" t="s">
        <v>30</v>
      </c>
      <c r="D36" t="str">
        <f t="shared" si="1"/>
        <v>F-CPI</v>
      </c>
      <c r="E36" t="s">
        <v>253</v>
      </c>
      <c r="F36" t="s">
        <v>254</v>
      </c>
      <c r="G36" t="s">
        <v>255</v>
      </c>
      <c r="H36">
        <v>0</v>
      </c>
      <c r="I36">
        <v>0</v>
      </c>
      <c r="J36">
        <v>0.5</v>
      </c>
      <c r="K36">
        <v>0.5</v>
      </c>
      <c r="L36">
        <v>1</v>
      </c>
      <c r="M36" t="b">
        <v>1</v>
      </c>
      <c r="N36" t="b">
        <v>1</v>
      </c>
      <c r="O36" t="b">
        <v>0</v>
      </c>
      <c r="P36" t="b">
        <v>0</v>
      </c>
      <c r="Q36" t="b">
        <v>1</v>
      </c>
      <c r="R36" t="b">
        <v>0</v>
      </c>
      <c r="S36" t="b">
        <v>1</v>
      </c>
      <c r="T36">
        <v>4</v>
      </c>
      <c r="U36" s="1">
        <v>0.52716561710845067</v>
      </c>
      <c r="V36" s="1">
        <v>0.99221245076659359</v>
      </c>
      <c r="W36" s="1">
        <v>1.084732067899307E-3</v>
      </c>
      <c r="X36">
        <v>5</v>
      </c>
      <c r="Y36" s="1">
        <v>0.51354166666666656</v>
      </c>
    </row>
    <row r="37" spans="1:25">
      <c r="B37" t="str">
        <f t="shared" si="0"/>
        <v>F</v>
      </c>
      <c r="C37" t="s">
        <v>30</v>
      </c>
      <c r="D37" t="str">
        <f t="shared" si="1"/>
        <v>F-CPI</v>
      </c>
      <c r="E37" t="s">
        <v>256</v>
      </c>
      <c r="F37" t="s">
        <v>257</v>
      </c>
      <c r="G37" t="s">
        <v>258</v>
      </c>
      <c r="H37">
        <v>0</v>
      </c>
      <c r="I37">
        <v>0</v>
      </c>
      <c r="J37">
        <v>0</v>
      </c>
      <c r="K37">
        <v>0</v>
      </c>
      <c r="L37">
        <v>0</v>
      </c>
      <c r="M37" t="b">
        <v>0</v>
      </c>
      <c r="N37" t="b">
        <v>1</v>
      </c>
      <c r="O37" t="b">
        <v>0</v>
      </c>
      <c r="P37" t="b">
        <v>1</v>
      </c>
      <c r="Q37" t="b">
        <v>1</v>
      </c>
      <c r="R37" t="b">
        <v>1</v>
      </c>
      <c r="S37" t="b">
        <v>1</v>
      </c>
      <c r="T37">
        <v>5</v>
      </c>
      <c r="U37" s="1">
        <v>0.52603158127504135</v>
      </c>
      <c r="V37" s="1">
        <v>1.009804187894823</v>
      </c>
      <c r="W37" s="1">
        <v>1.202429194092052E-3</v>
      </c>
      <c r="X37">
        <v>5</v>
      </c>
      <c r="Y37" s="1">
        <v>0.51041666666666663</v>
      </c>
    </row>
    <row r="38" spans="1:25">
      <c r="B38" t="str">
        <f t="shared" si="0"/>
        <v>F</v>
      </c>
      <c r="C38" t="s">
        <v>30</v>
      </c>
      <c r="D38" t="str">
        <f t="shared" si="1"/>
        <v>F-CPI</v>
      </c>
      <c r="E38" t="s">
        <v>256</v>
      </c>
      <c r="F38" t="s">
        <v>259</v>
      </c>
      <c r="G38" t="s">
        <v>260</v>
      </c>
      <c r="H38">
        <v>0</v>
      </c>
      <c r="I38">
        <v>0</v>
      </c>
      <c r="J38">
        <v>0</v>
      </c>
      <c r="K38">
        <v>0</v>
      </c>
      <c r="L38">
        <v>0</v>
      </c>
      <c r="M38" t="b">
        <v>1</v>
      </c>
      <c r="N38" t="b">
        <v>1</v>
      </c>
      <c r="O38" t="b">
        <v>0</v>
      </c>
      <c r="P38" t="b">
        <v>1</v>
      </c>
      <c r="Q38" t="b">
        <v>1</v>
      </c>
      <c r="R38" t="b">
        <v>1</v>
      </c>
      <c r="S38" t="b">
        <v>1</v>
      </c>
      <c r="T38">
        <v>6</v>
      </c>
      <c r="U38" s="1">
        <v>0.52604001226621078</v>
      </c>
      <c r="V38" s="1">
        <v>1.0065619348308481</v>
      </c>
      <c r="W38" s="1">
        <v>1.17139656173353E-3</v>
      </c>
      <c r="X38">
        <v>6</v>
      </c>
      <c r="Y38" s="1">
        <v>0.51041666666666663</v>
      </c>
    </row>
    <row r="39" spans="1:25">
      <c r="B39" t="str">
        <f t="shared" si="0"/>
        <v>F</v>
      </c>
      <c r="C39" t="s">
        <v>30</v>
      </c>
      <c r="D39" t="str">
        <f t="shared" si="1"/>
        <v>F-CPI</v>
      </c>
      <c r="E39" t="s">
        <v>261</v>
      </c>
      <c r="F39" t="s">
        <v>262</v>
      </c>
      <c r="G39" t="s">
        <v>263</v>
      </c>
      <c r="H39">
        <v>0</v>
      </c>
      <c r="I39">
        <v>0</v>
      </c>
      <c r="J39">
        <v>0.5</v>
      </c>
      <c r="K39">
        <v>0.5</v>
      </c>
      <c r="L39">
        <v>1</v>
      </c>
      <c r="M39" t="b">
        <v>1</v>
      </c>
      <c r="N39" t="b">
        <v>1</v>
      </c>
      <c r="O39" t="b">
        <v>0</v>
      </c>
      <c r="P39" t="b">
        <v>0</v>
      </c>
      <c r="Q39" t="b">
        <v>1</v>
      </c>
      <c r="R39" t="b">
        <v>0</v>
      </c>
      <c r="S39" t="b">
        <v>1</v>
      </c>
      <c r="T39">
        <v>4</v>
      </c>
      <c r="U39" s="1">
        <v>0.53090072418772638</v>
      </c>
      <c r="V39" s="1">
        <v>0.98320207730053999</v>
      </c>
      <c r="W39" s="1">
        <v>1.2822222405724231E-3</v>
      </c>
      <c r="X39">
        <v>5</v>
      </c>
      <c r="Y39" s="1">
        <v>0.52916666666666656</v>
      </c>
    </row>
    <row r="40" spans="1:25">
      <c r="B40" t="str">
        <f t="shared" si="0"/>
        <v>F</v>
      </c>
      <c r="C40" t="s">
        <v>30</v>
      </c>
      <c r="D40" t="str">
        <f t="shared" si="1"/>
        <v>F-CPI</v>
      </c>
      <c r="E40" t="s">
        <v>264</v>
      </c>
      <c r="F40" t="s">
        <v>265</v>
      </c>
      <c r="G40" t="s">
        <v>266</v>
      </c>
      <c r="H40">
        <v>0</v>
      </c>
      <c r="I40">
        <v>0</v>
      </c>
      <c r="J40">
        <v>0</v>
      </c>
      <c r="K40">
        <v>0.5</v>
      </c>
      <c r="L40">
        <v>0.5</v>
      </c>
      <c r="M40" t="b">
        <v>1</v>
      </c>
      <c r="N40" t="b">
        <v>1</v>
      </c>
      <c r="O40" t="b">
        <v>0</v>
      </c>
      <c r="P40" t="b">
        <v>0</v>
      </c>
      <c r="Q40" t="b">
        <v>0</v>
      </c>
      <c r="R40" t="b">
        <v>1</v>
      </c>
      <c r="S40" t="b">
        <v>1</v>
      </c>
      <c r="T40">
        <v>4</v>
      </c>
      <c r="U40" s="1">
        <v>0.51995678138655033</v>
      </c>
      <c r="V40" s="1">
        <v>1.010282267275608</v>
      </c>
      <c r="W40" s="1">
        <v>1.0283225801593189E-3</v>
      </c>
      <c r="X40">
        <v>4.5</v>
      </c>
      <c r="Y40" s="1">
        <v>0.51666666666666661</v>
      </c>
    </row>
    <row r="41" spans="1:25">
      <c r="B41" t="str">
        <f t="shared" si="0"/>
        <v>F</v>
      </c>
      <c r="C41" t="s">
        <v>30</v>
      </c>
      <c r="D41" t="str">
        <f t="shared" si="1"/>
        <v>F-CPI</v>
      </c>
      <c r="E41" t="s">
        <v>267</v>
      </c>
      <c r="F41" t="s">
        <v>262</v>
      </c>
      <c r="G41" t="s">
        <v>268</v>
      </c>
      <c r="H41">
        <v>0</v>
      </c>
      <c r="I41">
        <v>1</v>
      </c>
      <c r="J41">
        <v>0.5</v>
      </c>
      <c r="K41">
        <v>0.5</v>
      </c>
      <c r="L41">
        <v>2</v>
      </c>
      <c r="M41" t="b">
        <v>1</v>
      </c>
      <c r="N41" t="b">
        <v>1</v>
      </c>
      <c r="O41" t="b">
        <v>0</v>
      </c>
      <c r="P41" t="b">
        <v>0</v>
      </c>
      <c r="Q41" t="b">
        <v>1</v>
      </c>
      <c r="R41" t="b">
        <v>0</v>
      </c>
      <c r="S41" t="b">
        <v>1</v>
      </c>
      <c r="T41">
        <v>4</v>
      </c>
      <c r="U41" s="1">
        <v>0.52986468856549918</v>
      </c>
      <c r="V41" s="1">
        <v>0.98003015794822468</v>
      </c>
      <c r="W41" s="1">
        <v>1.1909770692762711E-3</v>
      </c>
      <c r="X41">
        <v>6</v>
      </c>
      <c r="Y41" s="1">
        <v>0.52500000000000002</v>
      </c>
    </row>
    <row r="42" spans="1:25">
      <c r="B42" t="str">
        <f t="shared" si="0"/>
        <v>F</v>
      </c>
      <c r="C42" t="s">
        <v>30</v>
      </c>
      <c r="D42" t="str">
        <f t="shared" si="1"/>
        <v>F-CPI</v>
      </c>
      <c r="E42" t="s">
        <v>269</v>
      </c>
      <c r="F42" t="s">
        <v>270</v>
      </c>
      <c r="G42" t="s">
        <v>271</v>
      </c>
      <c r="H42">
        <v>0</v>
      </c>
      <c r="I42">
        <v>0</v>
      </c>
      <c r="J42">
        <v>0</v>
      </c>
      <c r="K42">
        <v>0</v>
      </c>
      <c r="L42">
        <v>0</v>
      </c>
      <c r="M42" t="b">
        <v>1</v>
      </c>
      <c r="N42" t="b">
        <v>1</v>
      </c>
      <c r="O42" t="b">
        <v>0</v>
      </c>
      <c r="P42" t="b">
        <v>0</v>
      </c>
      <c r="Q42" t="b">
        <v>1</v>
      </c>
      <c r="R42" t="b">
        <v>0</v>
      </c>
      <c r="S42" t="b">
        <v>1</v>
      </c>
      <c r="T42">
        <v>4</v>
      </c>
      <c r="U42" s="1">
        <v>0.52101611752377297</v>
      </c>
      <c r="V42" s="1">
        <v>0.99934984340220689</v>
      </c>
      <c r="W42" s="1">
        <v>8.84585279065558E-4</v>
      </c>
      <c r="X42">
        <v>4</v>
      </c>
      <c r="Y42" s="1">
        <v>0.47916666666666657</v>
      </c>
    </row>
    <row r="43" spans="1:25">
      <c r="B43" t="str">
        <f t="shared" si="0"/>
        <v>F</v>
      </c>
      <c r="C43" t="s">
        <v>30</v>
      </c>
      <c r="D43" t="str">
        <f t="shared" si="1"/>
        <v>F-CPI</v>
      </c>
      <c r="E43" t="s">
        <v>272</v>
      </c>
      <c r="F43" t="s">
        <v>273</v>
      </c>
      <c r="G43" t="s">
        <v>274</v>
      </c>
      <c r="H43">
        <v>0</v>
      </c>
      <c r="I43">
        <v>1</v>
      </c>
      <c r="J43">
        <v>0</v>
      </c>
      <c r="K43">
        <v>0</v>
      </c>
      <c r="L43">
        <v>1</v>
      </c>
      <c r="M43" t="b">
        <v>1</v>
      </c>
      <c r="N43" t="b">
        <v>1</v>
      </c>
      <c r="O43" t="b">
        <v>0</v>
      </c>
      <c r="P43" t="b">
        <v>0</v>
      </c>
      <c r="Q43" t="b">
        <v>0</v>
      </c>
      <c r="R43" t="b">
        <v>1</v>
      </c>
      <c r="S43" t="b">
        <v>1</v>
      </c>
      <c r="T43">
        <v>4</v>
      </c>
      <c r="U43" s="1">
        <v>0.51241053917576251</v>
      </c>
      <c r="V43" s="1">
        <v>1.002261136549691</v>
      </c>
      <c r="W43" s="1">
        <v>5.8881885449179531E-4</v>
      </c>
      <c r="X43">
        <v>5</v>
      </c>
      <c r="Y43" s="1">
        <v>0.4958333333333334</v>
      </c>
    </row>
    <row r="44" spans="1:25">
      <c r="B44" t="str">
        <f t="shared" si="0"/>
        <v>F</v>
      </c>
      <c r="C44" t="s">
        <v>30</v>
      </c>
      <c r="D44" t="str">
        <f t="shared" si="1"/>
        <v>F-CPI</v>
      </c>
      <c r="E44" t="s">
        <v>275</v>
      </c>
      <c r="F44" t="s">
        <v>276</v>
      </c>
      <c r="G44" t="s">
        <v>277</v>
      </c>
      <c r="H44">
        <v>0</v>
      </c>
      <c r="I44">
        <v>1</v>
      </c>
      <c r="J44">
        <v>0</v>
      </c>
      <c r="K44">
        <v>0</v>
      </c>
      <c r="L44">
        <v>1</v>
      </c>
      <c r="M44" t="b">
        <v>1</v>
      </c>
      <c r="N44" t="b">
        <v>1</v>
      </c>
      <c r="O44" t="b">
        <v>0</v>
      </c>
      <c r="P44" t="b">
        <v>0</v>
      </c>
      <c r="Q44" t="b">
        <v>0</v>
      </c>
      <c r="R44" t="b">
        <v>0</v>
      </c>
      <c r="S44" t="b">
        <v>1</v>
      </c>
      <c r="T44">
        <v>3</v>
      </c>
      <c r="U44" s="1">
        <v>0.51578019825517651</v>
      </c>
      <c r="V44" s="1">
        <v>0.99532789189772797</v>
      </c>
      <c r="W44" s="1">
        <v>6.4901979984808775E-4</v>
      </c>
      <c r="X44">
        <v>4</v>
      </c>
      <c r="Y44" s="1">
        <v>0.51458333333333339</v>
      </c>
    </row>
    <row r="45" spans="1:25">
      <c r="B45" t="str">
        <f t="shared" si="0"/>
        <v>F</v>
      </c>
      <c r="C45" t="s">
        <v>30</v>
      </c>
      <c r="D45" t="str">
        <f t="shared" si="1"/>
        <v>F-CPI</v>
      </c>
      <c r="E45" t="s">
        <v>269</v>
      </c>
      <c r="F45" t="s">
        <v>170</v>
      </c>
      <c r="G45" t="s">
        <v>278</v>
      </c>
      <c r="H45">
        <v>0</v>
      </c>
      <c r="I45">
        <v>1</v>
      </c>
      <c r="J45">
        <v>0.5</v>
      </c>
      <c r="K45">
        <v>0.5</v>
      </c>
      <c r="L45">
        <v>2</v>
      </c>
      <c r="M45" t="b">
        <v>1</v>
      </c>
      <c r="N45" t="b">
        <v>1</v>
      </c>
      <c r="O45" t="b">
        <v>0</v>
      </c>
      <c r="P45" t="b">
        <v>0</v>
      </c>
      <c r="Q45" t="b">
        <v>1</v>
      </c>
      <c r="R45" t="b">
        <v>0</v>
      </c>
      <c r="S45" t="b">
        <v>1</v>
      </c>
      <c r="T45">
        <v>4</v>
      </c>
      <c r="U45" s="1">
        <v>0.52285960614393101</v>
      </c>
      <c r="V45" s="1">
        <v>0.97188210726859658</v>
      </c>
      <c r="W45" s="1">
        <v>6.9370098765647039E-4</v>
      </c>
      <c r="X45">
        <v>6</v>
      </c>
      <c r="Y45" s="1">
        <v>0.49895833333333328</v>
      </c>
    </row>
    <row r="46" spans="1:25">
      <c r="B46" t="str">
        <f t="shared" si="0"/>
        <v>F</v>
      </c>
      <c r="C46" t="s">
        <v>30</v>
      </c>
      <c r="D46" t="str">
        <f t="shared" si="1"/>
        <v>F-CPI</v>
      </c>
      <c r="E46" t="s">
        <v>279</v>
      </c>
      <c r="F46" t="s">
        <v>265</v>
      </c>
      <c r="G46" t="s">
        <v>280</v>
      </c>
      <c r="H46">
        <v>0</v>
      </c>
      <c r="I46">
        <v>1</v>
      </c>
      <c r="J46">
        <v>0</v>
      </c>
      <c r="K46">
        <v>0</v>
      </c>
      <c r="L46">
        <v>1</v>
      </c>
      <c r="M46" t="b">
        <v>1</v>
      </c>
      <c r="N46" t="b">
        <v>1</v>
      </c>
      <c r="O46" t="b">
        <v>0</v>
      </c>
      <c r="P46" t="b">
        <v>0</v>
      </c>
      <c r="Q46" t="b">
        <v>0</v>
      </c>
      <c r="R46" t="b">
        <v>0</v>
      </c>
      <c r="S46" t="b">
        <v>1</v>
      </c>
      <c r="T46">
        <v>3</v>
      </c>
      <c r="U46" s="1">
        <v>0.51550791830371667</v>
      </c>
      <c r="V46" s="1">
        <v>0.98611094106626074</v>
      </c>
      <c r="W46" s="1">
        <v>5.4276249238764608E-4</v>
      </c>
      <c r="X46">
        <v>4</v>
      </c>
      <c r="Y46" s="1">
        <v>0.5083333333333333</v>
      </c>
    </row>
    <row r="47" spans="1:25">
      <c r="B47" t="str">
        <f t="shared" si="0"/>
        <v>F</v>
      </c>
      <c r="C47" t="s">
        <v>30</v>
      </c>
      <c r="D47" t="str">
        <f t="shared" si="1"/>
        <v>F-CPI</v>
      </c>
      <c r="E47" t="s">
        <v>281</v>
      </c>
      <c r="F47" t="s">
        <v>282</v>
      </c>
      <c r="G47" t="s">
        <v>283</v>
      </c>
      <c r="H47">
        <v>1</v>
      </c>
      <c r="I47">
        <v>1</v>
      </c>
      <c r="J47">
        <v>0.5</v>
      </c>
      <c r="K47">
        <v>0.5</v>
      </c>
      <c r="L47">
        <v>3</v>
      </c>
      <c r="M47" t="b">
        <v>1</v>
      </c>
      <c r="N47" t="b">
        <v>1</v>
      </c>
      <c r="O47" t="b">
        <v>0</v>
      </c>
      <c r="P47" t="b">
        <v>0</v>
      </c>
      <c r="Q47" t="b">
        <v>1</v>
      </c>
      <c r="R47" t="b">
        <v>1</v>
      </c>
      <c r="S47" t="b">
        <v>1</v>
      </c>
      <c r="T47">
        <v>5</v>
      </c>
      <c r="U47" s="1">
        <v>0.52465557274573205</v>
      </c>
      <c r="V47" s="1">
        <v>1.002637461423354</v>
      </c>
      <c r="W47" s="1">
        <v>1.151836852341137E-3</v>
      </c>
      <c r="X47">
        <v>8</v>
      </c>
      <c r="Y47" s="1">
        <v>0.5229166666666667</v>
      </c>
    </row>
    <row r="48" spans="1:25">
      <c r="B48" t="str">
        <f t="shared" si="0"/>
        <v>F</v>
      </c>
      <c r="C48" t="s">
        <v>30</v>
      </c>
      <c r="D48" t="str">
        <f t="shared" si="1"/>
        <v>F-CPI</v>
      </c>
      <c r="E48" t="s">
        <v>284</v>
      </c>
      <c r="F48" t="s">
        <v>285</v>
      </c>
      <c r="G48" t="s">
        <v>286</v>
      </c>
      <c r="H48">
        <v>0</v>
      </c>
      <c r="I48">
        <v>1</v>
      </c>
      <c r="J48">
        <v>0.5</v>
      </c>
      <c r="K48">
        <v>0.5</v>
      </c>
      <c r="L48">
        <v>2</v>
      </c>
      <c r="M48" t="b">
        <v>1</v>
      </c>
      <c r="N48" t="b">
        <v>1</v>
      </c>
      <c r="O48" t="b">
        <v>0</v>
      </c>
      <c r="P48" t="b">
        <v>0</v>
      </c>
      <c r="Q48" t="b">
        <v>1</v>
      </c>
      <c r="R48" t="b">
        <v>0</v>
      </c>
      <c r="S48" t="b">
        <v>1</v>
      </c>
      <c r="T48">
        <v>4</v>
      </c>
      <c r="U48" s="1">
        <v>0.52465924045802959</v>
      </c>
      <c r="V48" s="1">
        <v>0.98245571567153755</v>
      </c>
      <c r="W48" s="1">
        <v>9.2777469940771569E-4</v>
      </c>
      <c r="X48">
        <v>6</v>
      </c>
      <c r="Y48" s="1">
        <v>0.51145833333333335</v>
      </c>
    </row>
    <row r="49" spans="1:25">
      <c r="B49" t="str">
        <f t="shared" si="0"/>
        <v>F</v>
      </c>
      <c r="C49" t="s">
        <v>30</v>
      </c>
      <c r="D49" t="str">
        <f t="shared" si="1"/>
        <v>F-CPI</v>
      </c>
      <c r="E49" t="s">
        <v>287</v>
      </c>
      <c r="F49" t="s">
        <v>288</v>
      </c>
      <c r="G49" t="s">
        <v>289</v>
      </c>
      <c r="H49">
        <v>0</v>
      </c>
      <c r="I49">
        <v>1</v>
      </c>
      <c r="J49">
        <v>0.5</v>
      </c>
      <c r="K49">
        <v>0.5</v>
      </c>
      <c r="L49">
        <v>2</v>
      </c>
      <c r="M49" t="b">
        <v>1</v>
      </c>
      <c r="N49" t="b">
        <v>1</v>
      </c>
      <c r="O49" t="b">
        <v>0</v>
      </c>
      <c r="P49" t="b">
        <v>0</v>
      </c>
      <c r="Q49" t="b">
        <v>1</v>
      </c>
      <c r="R49" t="b">
        <v>1</v>
      </c>
      <c r="S49" t="b">
        <v>1</v>
      </c>
      <c r="T49">
        <v>5</v>
      </c>
      <c r="U49" s="1">
        <v>0.52266742343847317</v>
      </c>
      <c r="V49" s="1">
        <v>1.014128127415725</v>
      </c>
      <c r="W49" s="1">
        <v>1.2155767899721609E-3</v>
      </c>
      <c r="X49">
        <v>7</v>
      </c>
      <c r="Y49" s="1">
        <v>0.50312500000000004</v>
      </c>
    </row>
    <row r="50" spans="1:25">
      <c r="B50" t="str">
        <f t="shared" si="0"/>
        <v>F</v>
      </c>
      <c r="C50" t="s">
        <v>290</v>
      </c>
      <c r="D50" t="str">
        <f t="shared" si="1"/>
        <v>F-CPIs</v>
      </c>
      <c r="E50" t="s">
        <v>291</v>
      </c>
      <c r="F50" t="s">
        <v>292</v>
      </c>
      <c r="G50" t="s">
        <v>293</v>
      </c>
      <c r="H50">
        <v>0</v>
      </c>
      <c r="I50">
        <v>0</v>
      </c>
      <c r="J50">
        <v>0</v>
      </c>
      <c r="K50">
        <v>0</v>
      </c>
      <c r="L50">
        <v>0</v>
      </c>
      <c r="M50" t="b">
        <v>1</v>
      </c>
      <c r="N50" t="b">
        <v>0</v>
      </c>
      <c r="O50" t="b">
        <v>0</v>
      </c>
      <c r="P50" t="b">
        <v>0</v>
      </c>
      <c r="Q50" t="b">
        <v>1</v>
      </c>
      <c r="R50" t="b">
        <v>0</v>
      </c>
      <c r="S50" t="b">
        <v>1</v>
      </c>
      <c r="T50">
        <v>3</v>
      </c>
      <c r="U50" s="1">
        <v>0.52159739520146042</v>
      </c>
      <c r="V50" s="1">
        <v>0.95646578190454701</v>
      </c>
      <c r="W50" s="1">
        <v>4.6176787663135607E-4</v>
      </c>
      <c r="X50">
        <v>3</v>
      </c>
      <c r="Y50" s="1">
        <v>0.5</v>
      </c>
    </row>
    <row r="51" spans="1:25">
      <c r="B51" t="str">
        <f t="shared" si="0"/>
        <v>F</v>
      </c>
      <c r="C51" t="s">
        <v>33</v>
      </c>
      <c r="D51" t="str">
        <f t="shared" si="1"/>
        <v>F-PPI</v>
      </c>
      <c r="E51" t="s">
        <v>33</v>
      </c>
      <c r="F51" t="s">
        <v>262</v>
      </c>
      <c r="G51" t="s">
        <v>294</v>
      </c>
      <c r="H51">
        <v>0</v>
      </c>
      <c r="I51">
        <v>1</v>
      </c>
      <c r="J51">
        <v>0</v>
      </c>
      <c r="K51">
        <v>0</v>
      </c>
      <c r="L51">
        <v>1</v>
      </c>
      <c r="M51" t="b">
        <v>0</v>
      </c>
      <c r="N51" t="b">
        <v>1</v>
      </c>
      <c r="O51" t="b">
        <v>0</v>
      </c>
      <c r="P51" t="b">
        <v>0</v>
      </c>
      <c r="Q51" t="b">
        <v>1</v>
      </c>
      <c r="R51" t="b">
        <v>1</v>
      </c>
      <c r="S51" t="b">
        <v>1</v>
      </c>
      <c r="T51">
        <v>4</v>
      </c>
      <c r="U51" s="1">
        <v>0.52385363477166247</v>
      </c>
      <c r="V51" s="1">
        <v>1.0303338799877979</v>
      </c>
      <c r="W51" s="1">
        <v>1.452573135704617E-3</v>
      </c>
      <c r="X51">
        <v>5</v>
      </c>
      <c r="Y51" s="1">
        <v>0.53229166666666672</v>
      </c>
    </row>
    <row r="52" spans="1:25">
      <c r="B52" t="str">
        <f t="shared" si="0"/>
        <v>F</v>
      </c>
      <c r="C52" t="s">
        <v>33</v>
      </c>
      <c r="D52" t="str">
        <f t="shared" si="1"/>
        <v>F-PPI</v>
      </c>
      <c r="E52" t="s">
        <v>295</v>
      </c>
      <c r="F52" t="s">
        <v>262</v>
      </c>
      <c r="G52" t="s">
        <v>296</v>
      </c>
      <c r="H52">
        <v>0</v>
      </c>
      <c r="I52">
        <v>0</v>
      </c>
      <c r="J52">
        <v>0</v>
      </c>
      <c r="K52">
        <v>0</v>
      </c>
      <c r="L52">
        <v>0</v>
      </c>
      <c r="M52" t="b">
        <v>0</v>
      </c>
      <c r="N52" t="b">
        <v>1</v>
      </c>
      <c r="O52" t="b">
        <v>0</v>
      </c>
      <c r="P52" t="b">
        <v>0</v>
      </c>
      <c r="Q52" t="b">
        <v>1</v>
      </c>
      <c r="R52" t="b">
        <v>0</v>
      </c>
      <c r="S52" t="b">
        <v>1</v>
      </c>
      <c r="T52">
        <v>3</v>
      </c>
      <c r="U52" s="1">
        <v>0.52345606221481089</v>
      </c>
      <c r="V52" s="1">
        <v>0.97174721021756061</v>
      </c>
      <c r="W52" s="1">
        <v>7.3269489577126E-4</v>
      </c>
      <c r="X52">
        <v>3</v>
      </c>
      <c r="Y52" s="1">
        <v>0.48645833333333333</v>
      </c>
    </row>
    <row r="53" spans="1:25">
      <c r="B53" t="str">
        <f t="shared" si="0"/>
        <v>F</v>
      </c>
      <c r="C53" t="s">
        <v>33</v>
      </c>
      <c r="D53" t="str">
        <f t="shared" si="1"/>
        <v>F-PPI</v>
      </c>
      <c r="E53" t="s">
        <v>297</v>
      </c>
      <c r="F53" t="s">
        <v>292</v>
      </c>
      <c r="G53" t="s">
        <v>298</v>
      </c>
      <c r="H53">
        <v>0</v>
      </c>
      <c r="I53">
        <v>1</v>
      </c>
      <c r="J53">
        <v>0.5</v>
      </c>
      <c r="K53">
        <v>0</v>
      </c>
      <c r="L53">
        <v>1.5</v>
      </c>
      <c r="M53" t="b">
        <v>1</v>
      </c>
      <c r="N53" t="b">
        <v>1</v>
      </c>
      <c r="O53" t="b">
        <v>0</v>
      </c>
      <c r="P53" t="b">
        <v>0</v>
      </c>
      <c r="Q53" t="b">
        <v>1</v>
      </c>
      <c r="R53" t="b">
        <v>0</v>
      </c>
      <c r="S53" t="b">
        <v>1</v>
      </c>
      <c r="T53">
        <v>4</v>
      </c>
      <c r="U53" s="1">
        <v>0.5293189696854399</v>
      </c>
      <c r="V53" s="1">
        <v>0.96542425854855174</v>
      </c>
      <c r="W53" s="1">
        <v>9.325216570301813E-4</v>
      </c>
      <c r="X53">
        <v>5.5</v>
      </c>
      <c r="Y53" s="1">
        <v>0.50625000000000009</v>
      </c>
    </row>
    <row r="54" spans="1:25">
      <c r="B54" t="str">
        <f t="shared" si="0"/>
        <v>F</v>
      </c>
      <c r="C54" t="s">
        <v>33</v>
      </c>
      <c r="D54" t="str">
        <f t="shared" si="1"/>
        <v>F-PPI</v>
      </c>
      <c r="E54" t="s">
        <v>299</v>
      </c>
      <c r="F54" t="s">
        <v>300</v>
      </c>
      <c r="G54" t="s">
        <v>301</v>
      </c>
      <c r="H54">
        <v>0</v>
      </c>
      <c r="I54">
        <v>1</v>
      </c>
      <c r="J54">
        <v>0.5</v>
      </c>
      <c r="K54">
        <v>0</v>
      </c>
      <c r="L54">
        <v>1.5</v>
      </c>
      <c r="M54" t="b">
        <v>1</v>
      </c>
      <c r="N54" t="b">
        <v>1</v>
      </c>
      <c r="O54" t="b">
        <v>0</v>
      </c>
      <c r="P54" t="b">
        <v>0</v>
      </c>
      <c r="Q54" t="b">
        <v>1</v>
      </c>
      <c r="R54" t="b">
        <v>0</v>
      </c>
      <c r="S54" t="b">
        <v>1</v>
      </c>
      <c r="T54">
        <v>4</v>
      </c>
      <c r="U54" s="1">
        <v>0.5293189696854399</v>
      </c>
      <c r="V54" s="1">
        <v>0.96542425854855174</v>
      </c>
      <c r="W54" s="1">
        <v>9.325216570301813E-4</v>
      </c>
      <c r="X54">
        <v>5.5</v>
      </c>
      <c r="Y54" s="1">
        <v>0.50625000000000009</v>
      </c>
    </row>
    <row r="55" spans="1:25">
      <c r="B55" t="str">
        <f t="shared" si="0"/>
        <v>F</v>
      </c>
      <c r="C55" t="s">
        <v>33</v>
      </c>
      <c r="D55" t="str">
        <f t="shared" si="1"/>
        <v>F-PPI</v>
      </c>
      <c r="E55" t="s">
        <v>302</v>
      </c>
      <c r="F55" t="s">
        <v>303</v>
      </c>
      <c r="G55" t="s">
        <v>304</v>
      </c>
      <c r="H55">
        <v>0</v>
      </c>
      <c r="I55">
        <v>1</v>
      </c>
      <c r="J55">
        <v>0.5</v>
      </c>
      <c r="K55">
        <v>0.5</v>
      </c>
      <c r="L55">
        <v>2</v>
      </c>
      <c r="M55" t="b">
        <v>1</v>
      </c>
      <c r="N55" t="b">
        <v>1</v>
      </c>
      <c r="O55" t="b">
        <v>0</v>
      </c>
      <c r="P55" t="b">
        <v>0</v>
      </c>
      <c r="Q55" t="b">
        <v>1</v>
      </c>
      <c r="R55" t="b">
        <v>1</v>
      </c>
      <c r="S55" t="b">
        <v>1</v>
      </c>
      <c r="T55">
        <v>5</v>
      </c>
      <c r="U55" s="1">
        <v>0.52592396100099192</v>
      </c>
      <c r="V55" s="1">
        <v>1.0244401805950529</v>
      </c>
      <c r="W55" s="1">
        <v>1.4620501068825691E-3</v>
      </c>
      <c r="X55">
        <v>7</v>
      </c>
      <c r="Y55" s="1">
        <v>0.49479166666666669</v>
      </c>
    </row>
    <row r="56" spans="1:25">
      <c r="B56" t="str">
        <f t="shared" si="0"/>
        <v>F</v>
      </c>
      <c r="C56" t="s">
        <v>33</v>
      </c>
      <c r="D56" t="str">
        <f t="shared" si="1"/>
        <v>F-PPI</v>
      </c>
      <c r="E56" t="s">
        <v>305</v>
      </c>
      <c r="F56" t="s">
        <v>270</v>
      </c>
      <c r="G56" t="s">
        <v>306</v>
      </c>
      <c r="H56">
        <v>1</v>
      </c>
      <c r="I56">
        <v>1</v>
      </c>
      <c r="J56">
        <v>0.5</v>
      </c>
      <c r="K56">
        <v>0.5</v>
      </c>
      <c r="L56">
        <v>3</v>
      </c>
      <c r="M56" t="b">
        <v>1</v>
      </c>
      <c r="N56" t="b">
        <v>1</v>
      </c>
      <c r="O56" t="b">
        <v>0</v>
      </c>
      <c r="P56" t="b">
        <v>0</v>
      </c>
      <c r="Q56" t="b">
        <v>1</v>
      </c>
      <c r="R56" t="b">
        <v>0</v>
      </c>
      <c r="S56" t="b">
        <v>1</v>
      </c>
      <c r="T56">
        <v>4</v>
      </c>
      <c r="U56" s="1">
        <v>0.52850216283421025</v>
      </c>
      <c r="V56" s="1">
        <v>0.98112065199545861</v>
      </c>
      <c r="W56" s="1">
        <v>1.101098853941202E-3</v>
      </c>
      <c r="X56">
        <v>7</v>
      </c>
      <c r="Y56" s="1">
        <v>0.51770833333333333</v>
      </c>
    </row>
    <row r="57" spans="1:25">
      <c r="B57" t="str">
        <f t="shared" si="0"/>
        <v>F</v>
      </c>
      <c r="C57" t="s">
        <v>33</v>
      </c>
      <c r="D57" t="str">
        <f t="shared" si="1"/>
        <v>F-PPI</v>
      </c>
      <c r="E57" t="s">
        <v>307</v>
      </c>
      <c r="F57" t="s">
        <v>242</v>
      </c>
      <c r="G57" t="s">
        <v>308</v>
      </c>
      <c r="H57">
        <v>1</v>
      </c>
      <c r="I57">
        <v>1</v>
      </c>
      <c r="J57">
        <v>0.5</v>
      </c>
      <c r="K57">
        <v>0.5</v>
      </c>
      <c r="L57">
        <v>3</v>
      </c>
      <c r="M57" t="b">
        <v>1</v>
      </c>
      <c r="N57" t="b">
        <v>1</v>
      </c>
      <c r="O57" t="b">
        <v>0</v>
      </c>
      <c r="P57" t="b">
        <v>0</v>
      </c>
      <c r="Q57" t="b">
        <v>1</v>
      </c>
      <c r="R57" t="b">
        <v>0</v>
      </c>
      <c r="S57" t="b">
        <v>1</v>
      </c>
      <c r="T57">
        <v>4</v>
      </c>
      <c r="U57" s="1">
        <v>0.5299945357090986</v>
      </c>
      <c r="V57" s="1">
        <v>0.9870895708199896</v>
      </c>
      <c r="W57" s="1">
        <v>1.153385064684222E-3</v>
      </c>
      <c r="X57">
        <v>7</v>
      </c>
      <c r="Y57" s="1">
        <v>0.50416666666666665</v>
      </c>
    </row>
    <row r="58" spans="1:25">
      <c r="B58" t="str">
        <f t="shared" si="0"/>
        <v>F</v>
      </c>
      <c r="C58" t="s">
        <v>33</v>
      </c>
      <c r="D58" t="str">
        <f t="shared" si="1"/>
        <v>F-PPI</v>
      </c>
      <c r="E58" t="s">
        <v>309</v>
      </c>
      <c r="F58" t="s">
        <v>310</v>
      </c>
      <c r="G58" t="s">
        <v>311</v>
      </c>
      <c r="H58">
        <v>0</v>
      </c>
      <c r="I58">
        <v>1</v>
      </c>
      <c r="J58">
        <v>0</v>
      </c>
      <c r="K58">
        <v>0</v>
      </c>
      <c r="L58">
        <v>1</v>
      </c>
      <c r="M58" t="b">
        <v>1</v>
      </c>
      <c r="N58" t="b">
        <v>1</v>
      </c>
      <c r="O58" t="b">
        <v>1</v>
      </c>
      <c r="P58" t="b">
        <v>0</v>
      </c>
      <c r="Q58" t="b">
        <v>1</v>
      </c>
      <c r="R58" t="b">
        <v>1</v>
      </c>
      <c r="S58" t="b">
        <v>1</v>
      </c>
      <c r="T58">
        <v>6</v>
      </c>
      <c r="U58" s="1">
        <v>0.5230790641801295</v>
      </c>
      <c r="V58" s="1">
        <v>1.0362346334099111</v>
      </c>
      <c r="W58" s="1">
        <v>1.486752530965102E-3</v>
      </c>
      <c r="X58">
        <v>7</v>
      </c>
      <c r="Y58" s="1">
        <v>0.51041666666666663</v>
      </c>
    </row>
    <row r="59" spans="1:25">
      <c r="B59" t="str">
        <f t="shared" si="0"/>
        <v>F</v>
      </c>
      <c r="C59" t="s">
        <v>33</v>
      </c>
      <c r="D59" t="str">
        <f t="shared" si="1"/>
        <v>F-PPI</v>
      </c>
      <c r="E59" t="s">
        <v>312</v>
      </c>
      <c r="F59" t="s">
        <v>313</v>
      </c>
      <c r="G59" t="s">
        <v>314</v>
      </c>
      <c r="H59">
        <v>0</v>
      </c>
      <c r="I59">
        <v>1</v>
      </c>
      <c r="J59">
        <v>0.5</v>
      </c>
      <c r="K59">
        <v>0.5</v>
      </c>
      <c r="L59">
        <v>2</v>
      </c>
      <c r="M59" t="b">
        <v>1</v>
      </c>
      <c r="N59" t="b">
        <v>1</v>
      </c>
      <c r="O59" t="b">
        <v>0</v>
      </c>
      <c r="P59" t="b">
        <v>0</v>
      </c>
      <c r="Q59" t="b">
        <v>1</v>
      </c>
      <c r="R59" t="b">
        <v>1</v>
      </c>
      <c r="S59" t="b">
        <v>1</v>
      </c>
      <c r="T59">
        <v>5</v>
      </c>
      <c r="U59" s="1">
        <v>0.52542226231261024</v>
      </c>
      <c r="V59" s="1">
        <v>1.0255419155656309</v>
      </c>
      <c r="W59" s="1">
        <v>1.442979540345599E-3</v>
      </c>
      <c r="X59">
        <v>7</v>
      </c>
      <c r="Y59" s="1">
        <v>0.51666666666666672</v>
      </c>
    </row>
    <row r="60" spans="1:25">
      <c r="B60" t="str">
        <f t="shared" si="0"/>
        <v>F</v>
      </c>
      <c r="C60" t="s">
        <v>33</v>
      </c>
      <c r="D60" t="str">
        <f t="shared" si="1"/>
        <v>F-PPI</v>
      </c>
      <c r="E60" t="s">
        <v>315</v>
      </c>
      <c r="F60" t="s">
        <v>262</v>
      </c>
      <c r="G60" t="s">
        <v>316</v>
      </c>
      <c r="H60">
        <v>0</v>
      </c>
      <c r="I60">
        <v>0</v>
      </c>
      <c r="J60">
        <v>0.5</v>
      </c>
      <c r="K60">
        <v>0.5</v>
      </c>
      <c r="L60">
        <v>1</v>
      </c>
      <c r="M60" t="b">
        <v>0</v>
      </c>
      <c r="N60" t="b">
        <v>1</v>
      </c>
      <c r="O60" t="b">
        <v>0</v>
      </c>
      <c r="P60" t="b">
        <v>0</v>
      </c>
      <c r="Q60" t="b">
        <v>1</v>
      </c>
      <c r="R60" t="b">
        <v>0</v>
      </c>
      <c r="S60" t="b">
        <v>1</v>
      </c>
      <c r="T60">
        <v>3</v>
      </c>
      <c r="U60" s="1">
        <v>0.52345606221481089</v>
      </c>
      <c r="V60" s="1">
        <v>0.97160132055055803</v>
      </c>
      <c r="W60" s="1">
        <v>7.3089769642277242E-4</v>
      </c>
      <c r="X60">
        <v>4</v>
      </c>
      <c r="Y60" s="1">
        <v>0.48645833333333333</v>
      </c>
    </row>
    <row r="61" spans="1:25">
      <c r="A61" s="7"/>
      <c r="B61" s="2" t="str">
        <f t="shared" si="0"/>
        <v>F</v>
      </c>
      <c r="C61" s="2" t="s">
        <v>33</v>
      </c>
      <c r="D61" s="2" t="str">
        <f t="shared" si="1"/>
        <v>F-PPI</v>
      </c>
      <c r="E61" s="2" t="s">
        <v>317</v>
      </c>
      <c r="F61" s="2" t="s">
        <v>318</v>
      </c>
      <c r="G61" s="2" t="s">
        <v>319</v>
      </c>
      <c r="H61" s="2">
        <v>1</v>
      </c>
      <c r="I61" s="2">
        <v>0</v>
      </c>
      <c r="J61" s="2">
        <v>0</v>
      </c>
      <c r="K61" s="2">
        <v>0</v>
      </c>
      <c r="L61" s="2">
        <v>1</v>
      </c>
      <c r="M61" s="2" t="b">
        <v>1</v>
      </c>
      <c r="N61" s="2" t="b">
        <v>1</v>
      </c>
      <c r="O61" s="2" t="b">
        <v>0</v>
      </c>
      <c r="P61" s="2" t="b">
        <v>0</v>
      </c>
      <c r="Q61" s="2" t="b">
        <v>1</v>
      </c>
      <c r="R61" s="2" t="b">
        <v>0</v>
      </c>
      <c r="S61" s="2" t="b">
        <v>1</v>
      </c>
      <c r="T61" s="2">
        <v>4</v>
      </c>
      <c r="U61" s="3">
        <v>0.5223632219988027</v>
      </c>
      <c r="V61" s="3">
        <v>0.9731092189198931</v>
      </c>
      <c r="W61" s="3">
        <v>6.8524287003272411E-4</v>
      </c>
      <c r="X61" s="2">
        <v>5</v>
      </c>
      <c r="Y61" s="3">
        <v>0.4770833333333333</v>
      </c>
    </row>
    <row r="62" spans="1:25">
      <c r="B62" t="str">
        <f t="shared" si="0"/>
        <v>G</v>
      </c>
      <c r="C62" t="s">
        <v>37</v>
      </c>
      <c r="D62" t="str">
        <f t="shared" si="1"/>
        <v>G-工业生产</v>
      </c>
      <c r="E62" t="s">
        <v>320</v>
      </c>
      <c r="F62" t="s">
        <v>262</v>
      </c>
      <c r="G62" t="s">
        <v>321</v>
      </c>
      <c r="H62">
        <v>0</v>
      </c>
      <c r="I62">
        <v>1</v>
      </c>
      <c r="J62">
        <v>0</v>
      </c>
      <c r="K62">
        <v>0</v>
      </c>
      <c r="L62">
        <v>1</v>
      </c>
      <c r="M62" t="b">
        <v>0</v>
      </c>
      <c r="N62" t="b">
        <v>1</v>
      </c>
      <c r="O62" t="b">
        <v>0</v>
      </c>
      <c r="P62" t="b">
        <v>1</v>
      </c>
      <c r="Q62" t="b">
        <v>1</v>
      </c>
      <c r="R62" t="b">
        <v>1</v>
      </c>
      <c r="S62" t="b">
        <v>1</v>
      </c>
      <c r="T62">
        <v>5</v>
      </c>
      <c r="U62" s="1">
        <v>0.52392976658122836</v>
      </c>
      <c r="V62" s="1">
        <v>1.026594498989881</v>
      </c>
      <c r="W62" s="1">
        <v>1.2808775975344381E-3</v>
      </c>
      <c r="X62">
        <v>6</v>
      </c>
      <c r="Y62" s="1">
        <v>0.51041666666666663</v>
      </c>
    </row>
    <row r="63" spans="1:25">
      <c r="B63" t="str">
        <f t="shared" si="0"/>
        <v>G</v>
      </c>
      <c r="C63" t="s">
        <v>37</v>
      </c>
      <c r="D63" t="str">
        <f t="shared" si="1"/>
        <v>G-工业生产</v>
      </c>
      <c r="E63" t="s">
        <v>322</v>
      </c>
      <c r="F63" t="s">
        <v>323</v>
      </c>
      <c r="G63" t="s">
        <v>324</v>
      </c>
      <c r="H63">
        <v>1</v>
      </c>
      <c r="I63">
        <v>1</v>
      </c>
      <c r="J63">
        <v>0.5</v>
      </c>
      <c r="K63">
        <v>0.5</v>
      </c>
      <c r="L63">
        <v>3</v>
      </c>
      <c r="M63" t="b">
        <v>1</v>
      </c>
      <c r="N63" t="b">
        <v>1</v>
      </c>
      <c r="O63" t="b">
        <v>0</v>
      </c>
      <c r="P63" t="b">
        <v>0</v>
      </c>
      <c r="Q63" t="b">
        <v>0</v>
      </c>
      <c r="R63" t="b">
        <v>1</v>
      </c>
      <c r="S63" t="b">
        <v>1</v>
      </c>
      <c r="T63">
        <v>4</v>
      </c>
      <c r="U63" s="1">
        <v>0.51776803017909345</v>
      </c>
      <c r="V63" s="1">
        <v>1.009515013151155</v>
      </c>
      <c r="W63" s="1">
        <v>9.4100968409428667E-4</v>
      </c>
      <c r="X63">
        <v>7</v>
      </c>
      <c r="Y63" s="1">
        <v>0.48958333333333331</v>
      </c>
    </row>
    <row r="64" spans="1:25">
      <c r="B64" t="str">
        <f t="shared" si="0"/>
        <v>G</v>
      </c>
      <c r="C64" t="s">
        <v>37</v>
      </c>
      <c r="D64" t="str">
        <f t="shared" si="1"/>
        <v>G-工业生产</v>
      </c>
      <c r="E64" t="s">
        <v>325</v>
      </c>
      <c r="F64" t="s">
        <v>326</v>
      </c>
      <c r="G64" t="s">
        <v>327</v>
      </c>
      <c r="H64">
        <v>0</v>
      </c>
      <c r="I64">
        <v>0</v>
      </c>
      <c r="J64">
        <v>0</v>
      </c>
      <c r="K64">
        <v>0</v>
      </c>
      <c r="L64">
        <v>0</v>
      </c>
      <c r="M64" t="b">
        <v>0</v>
      </c>
      <c r="N64" t="b">
        <v>1</v>
      </c>
      <c r="O64" t="b">
        <v>0</v>
      </c>
      <c r="P64" t="b">
        <v>0</v>
      </c>
      <c r="Q64" t="b">
        <v>1</v>
      </c>
      <c r="R64" t="b">
        <v>0</v>
      </c>
      <c r="S64" t="b">
        <v>1</v>
      </c>
      <c r="T64">
        <v>3</v>
      </c>
      <c r="U64" s="1">
        <v>0.52313595711071914</v>
      </c>
      <c r="V64" s="1">
        <v>0.98037097188942002</v>
      </c>
      <c r="W64" s="1">
        <v>8.9349804760432104E-4</v>
      </c>
      <c r="X64">
        <v>3</v>
      </c>
      <c r="Y64" s="1">
        <v>0.50625000000000009</v>
      </c>
    </row>
    <row r="65" spans="1:25">
      <c r="B65" t="str">
        <f t="shared" si="0"/>
        <v>G</v>
      </c>
      <c r="C65" t="s">
        <v>37</v>
      </c>
      <c r="D65" t="str">
        <f t="shared" si="1"/>
        <v>G-工业生产</v>
      </c>
      <c r="E65" t="s">
        <v>328</v>
      </c>
      <c r="F65" t="s">
        <v>329</v>
      </c>
      <c r="G65" t="s">
        <v>330</v>
      </c>
      <c r="H65">
        <v>0</v>
      </c>
      <c r="I65">
        <v>1</v>
      </c>
      <c r="J65">
        <v>0.5</v>
      </c>
      <c r="K65">
        <v>0.5</v>
      </c>
      <c r="L65">
        <v>2</v>
      </c>
      <c r="M65" t="b">
        <v>0</v>
      </c>
      <c r="N65" t="b">
        <v>1</v>
      </c>
      <c r="O65" t="b">
        <v>0</v>
      </c>
      <c r="P65" t="b">
        <v>1</v>
      </c>
      <c r="Q65" t="b">
        <v>1</v>
      </c>
      <c r="R65" t="b">
        <v>1</v>
      </c>
      <c r="S65" t="b">
        <v>1</v>
      </c>
      <c r="T65">
        <v>5</v>
      </c>
      <c r="U65" s="1">
        <v>0.52342215155054117</v>
      </c>
      <c r="V65" s="1">
        <v>1.0281432384153071</v>
      </c>
      <c r="W65" s="1">
        <v>1.2767139281255359E-3</v>
      </c>
      <c r="X65">
        <v>7</v>
      </c>
      <c r="Y65" s="1">
        <v>0.50937499999999991</v>
      </c>
    </row>
    <row r="66" spans="1:25">
      <c r="B66" t="str">
        <f t="shared" ref="B66:B129" si="2">LEFT(G66)</f>
        <v>G</v>
      </c>
      <c r="C66" t="s">
        <v>37</v>
      </c>
      <c r="D66" t="str">
        <f t="shared" ref="D66:D129" si="3">B66&amp;"-"&amp;C66</f>
        <v>G-工业生产</v>
      </c>
      <c r="E66" t="s">
        <v>331</v>
      </c>
      <c r="F66" t="s">
        <v>300</v>
      </c>
      <c r="G66" t="s">
        <v>332</v>
      </c>
      <c r="H66">
        <v>0</v>
      </c>
      <c r="I66">
        <v>1</v>
      </c>
      <c r="J66">
        <v>0.5</v>
      </c>
      <c r="K66">
        <v>0.5</v>
      </c>
      <c r="L66">
        <v>2</v>
      </c>
      <c r="M66" t="b">
        <v>1</v>
      </c>
      <c r="N66" t="b">
        <v>1</v>
      </c>
      <c r="O66" t="b">
        <v>0</v>
      </c>
      <c r="P66" t="b">
        <v>0</v>
      </c>
      <c r="Q66" t="b">
        <v>0</v>
      </c>
      <c r="R66" t="b">
        <v>0</v>
      </c>
      <c r="S66" t="b">
        <v>1</v>
      </c>
      <c r="T66">
        <v>3</v>
      </c>
      <c r="U66" s="1">
        <v>0.51821976196159447</v>
      </c>
      <c r="V66" s="1">
        <v>0.99714921401551737</v>
      </c>
      <c r="W66" s="1">
        <v>7.8305816644387539E-4</v>
      </c>
      <c r="X66">
        <v>5</v>
      </c>
      <c r="Y66" s="1">
        <v>0.48854166666666671</v>
      </c>
    </row>
    <row r="67" spans="1:25">
      <c r="B67" t="str">
        <f t="shared" si="2"/>
        <v>G</v>
      </c>
      <c r="C67" t="s">
        <v>37</v>
      </c>
      <c r="D67" t="str">
        <f t="shared" si="3"/>
        <v>G-工业生产</v>
      </c>
      <c r="E67" t="s">
        <v>333</v>
      </c>
      <c r="F67" t="s">
        <v>334</v>
      </c>
      <c r="G67" t="s">
        <v>335</v>
      </c>
      <c r="H67">
        <v>0</v>
      </c>
      <c r="I67">
        <v>1</v>
      </c>
      <c r="J67">
        <v>0.5</v>
      </c>
      <c r="K67">
        <v>0.5</v>
      </c>
      <c r="L67">
        <v>2</v>
      </c>
      <c r="M67" t="b">
        <v>1</v>
      </c>
      <c r="N67" t="b">
        <v>1</v>
      </c>
      <c r="O67" t="b">
        <v>0</v>
      </c>
      <c r="P67" t="b">
        <v>0</v>
      </c>
      <c r="Q67" t="b">
        <v>0</v>
      </c>
      <c r="R67" t="b">
        <v>0</v>
      </c>
      <c r="S67" t="b">
        <v>1</v>
      </c>
      <c r="T67">
        <v>3</v>
      </c>
      <c r="U67" s="1">
        <v>0.51821976196159447</v>
      </c>
      <c r="V67" s="1">
        <v>0.99714921401551737</v>
      </c>
      <c r="W67" s="1">
        <v>7.8305816644387539E-4</v>
      </c>
      <c r="X67">
        <v>5</v>
      </c>
      <c r="Y67" s="1">
        <v>0.48854166666666671</v>
      </c>
    </row>
    <row r="68" spans="1:25">
      <c r="B68" t="str">
        <f t="shared" si="2"/>
        <v>G</v>
      </c>
      <c r="C68" t="s">
        <v>37</v>
      </c>
      <c r="D68" t="str">
        <f t="shared" si="3"/>
        <v>G-工业生产</v>
      </c>
      <c r="E68" t="s">
        <v>336</v>
      </c>
      <c r="F68" t="s">
        <v>337</v>
      </c>
      <c r="G68" t="s">
        <v>338</v>
      </c>
      <c r="H68">
        <v>0</v>
      </c>
      <c r="I68">
        <v>0</v>
      </c>
      <c r="J68">
        <v>0.5</v>
      </c>
      <c r="K68">
        <v>0.5</v>
      </c>
      <c r="L68">
        <v>1</v>
      </c>
      <c r="M68" t="b">
        <v>1</v>
      </c>
      <c r="N68" t="b">
        <v>1</v>
      </c>
      <c r="O68" t="b">
        <v>0</v>
      </c>
      <c r="P68" t="b">
        <v>0</v>
      </c>
      <c r="Q68" t="b">
        <v>0</v>
      </c>
      <c r="R68" t="b">
        <v>1</v>
      </c>
      <c r="S68" t="b">
        <v>1</v>
      </c>
      <c r="T68">
        <v>4</v>
      </c>
      <c r="U68" s="1">
        <v>0.51129323225151102</v>
      </c>
      <c r="V68" s="1">
        <v>1.007836680557942</v>
      </c>
      <c r="W68" s="1">
        <v>6.0019446714262565E-4</v>
      </c>
      <c r="X68">
        <v>5</v>
      </c>
      <c r="Y68" s="1">
        <v>0.47916666666666657</v>
      </c>
    </row>
    <row r="69" spans="1:25">
      <c r="B69" t="str">
        <f t="shared" si="2"/>
        <v>G</v>
      </c>
      <c r="C69" t="s">
        <v>37</v>
      </c>
      <c r="D69" t="str">
        <f t="shared" si="3"/>
        <v>G-工业生产</v>
      </c>
      <c r="E69" t="s">
        <v>339</v>
      </c>
      <c r="F69" t="s">
        <v>340</v>
      </c>
      <c r="G69" t="s">
        <v>341</v>
      </c>
      <c r="H69">
        <v>0</v>
      </c>
      <c r="I69">
        <v>1</v>
      </c>
      <c r="J69">
        <v>0</v>
      </c>
      <c r="K69">
        <v>0</v>
      </c>
      <c r="L69">
        <v>1</v>
      </c>
      <c r="M69" t="b">
        <v>1</v>
      </c>
      <c r="N69" t="b">
        <v>1</v>
      </c>
      <c r="O69" t="b">
        <v>0</v>
      </c>
      <c r="P69" t="b">
        <v>0</v>
      </c>
      <c r="Q69" t="b">
        <v>1</v>
      </c>
      <c r="R69" t="b">
        <v>0</v>
      </c>
      <c r="S69" t="b">
        <v>1</v>
      </c>
      <c r="T69">
        <v>4</v>
      </c>
      <c r="U69" s="1">
        <v>0.52322551883728452</v>
      </c>
      <c r="V69" s="1">
        <v>0.96370100665225156</v>
      </c>
      <c r="W69" s="1">
        <v>6.3691329416542197E-4</v>
      </c>
      <c r="X69">
        <v>5</v>
      </c>
      <c r="Y69" s="1">
        <v>0.52604166666666674</v>
      </c>
    </row>
    <row r="70" spans="1:25">
      <c r="B70" t="str">
        <f t="shared" si="2"/>
        <v>G</v>
      </c>
      <c r="C70" t="s">
        <v>37</v>
      </c>
      <c r="D70" t="str">
        <f t="shared" si="3"/>
        <v>G-工业生产</v>
      </c>
      <c r="E70" t="s">
        <v>342</v>
      </c>
      <c r="F70" t="s">
        <v>343</v>
      </c>
      <c r="G70" t="s">
        <v>344</v>
      </c>
      <c r="H70">
        <v>0</v>
      </c>
      <c r="I70">
        <v>1</v>
      </c>
      <c r="J70">
        <v>0.5</v>
      </c>
      <c r="K70">
        <v>0</v>
      </c>
      <c r="L70">
        <v>1.5</v>
      </c>
      <c r="M70" t="b">
        <v>1</v>
      </c>
      <c r="N70" t="b">
        <v>1</v>
      </c>
      <c r="O70" t="b">
        <v>0</v>
      </c>
      <c r="P70" t="b">
        <v>0</v>
      </c>
      <c r="Q70" t="b">
        <v>0</v>
      </c>
      <c r="R70" t="b">
        <v>1</v>
      </c>
      <c r="S70" t="b">
        <v>1</v>
      </c>
      <c r="T70">
        <v>4</v>
      </c>
      <c r="U70" s="1">
        <v>0.51621563486665478</v>
      </c>
      <c r="V70" s="1">
        <v>1.0059440081421891</v>
      </c>
      <c r="W70" s="1">
        <v>7.9050886935740148E-4</v>
      </c>
      <c r="X70">
        <v>5.5</v>
      </c>
      <c r="Y70" s="1">
        <v>0.46875</v>
      </c>
    </row>
    <row r="71" spans="1:25">
      <c r="B71" t="str">
        <f t="shared" si="2"/>
        <v>G</v>
      </c>
      <c r="C71" t="s">
        <v>37</v>
      </c>
      <c r="D71" t="str">
        <f t="shared" si="3"/>
        <v>G-工业生产</v>
      </c>
      <c r="E71" t="s">
        <v>345</v>
      </c>
      <c r="F71" t="s">
        <v>262</v>
      </c>
      <c r="G71" t="s">
        <v>346</v>
      </c>
      <c r="H71">
        <v>1</v>
      </c>
      <c r="I71">
        <v>1</v>
      </c>
      <c r="J71">
        <v>0.5</v>
      </c>
      <c r="K71">
        <v>0.5</v>
      </c>
      <c r="L71">
        <v>3</v>
      </c>
      <c r="M71" t="b">
        <v>1</v>
      </c>
      <c r="N71" t="b">
        <v>1</v>
      </c>
      <c r="O71" t="b">
        <v>0</v>
      </c>
      <c r="P71" t="b">
        <v>0</v>
      </c>
      <c r="Q71" t="b">
        <v>1</v>
      </c>
      <c r="R71" t="b">
        <v>1</v>
      </c>
      <c r="S71" t="b">
        <v>1</v>
      </c>
      <c r="T71">
        <v>5</v>
      </c>
      <c r="U71" s="1">
        <v>0.52279879524325445</v>
      </c>
      <c r="V71" s="1">
        <v>1.0026072371628421</v>
      </c>
      <c r="W71" s="1">
        <v>1.066854191525292E-3</v>
      </c>
      <c r="X71">
        <v>8</v>
      </c>
      <c r="Y71" s="1">
        <v>0.48958333333333331</v>
      </c>
    </row>
    <row r="72" spans="1:25">
      <c r="B72" t="str">
        <f t="shared" si="2"/>
        <v>G</v>
      </c>
      <c r="C72" t="s">
        <v>37</v>
      </c>
      <c r="D72" t="str">
        <f t="shared" si="3"/>
        <v>G-工业生产</v>
      </c>
      <c r="E72" t="s">
        <v>347</v>
      </c>
      <c r="F72" t="s">
        <v>300</v>
      </c>
      <c r="G72" t="s">
        <v>348</v>
      </c>
      <c r="H72">
        <v>1</v>
      </c>
      <c r="I72">
        <v>1</v>
      </c>
      <c r="J72">
        <v>0.5</v>
      </c>
      <c r="K72">
        <v>0.5</v>
      </c>
      <c r="L72">
        <v>3</v>
      </c>
      <c r="M72" t="b">
        <v>1</v>
      </c>
      <c r="N72" t="b">
        <v>1</v>
      </c>
      <c r="O72" t="b">
        <v>0</v>
      </c>
      <c r="P72" t="b">
        <v>0</v>
      </c>
      <c r="Q72" t="b">
        <v>1</v>
      </c>
      <c r="R72" t="b">
        <v>1</v>
      </c>
      <c r="S72" t="b">
        <v>1</v>
      </c>
      <c r="T72">
        <v>5</v>
      </c>
      <c r="U72" s="1">
        <v>0.52638816355275941</v>
      </c>
      <c r="V72" s="1">
        <v>1.006243464857576</v>
      </c>
      <c r="W72" s="1">
        <v>1.2648867073778119E-3</v>
      </c>
      <c r="X72">
        <v>8</v>
      </c>
      <c r="Y72" s="1">
        <v>0.49895833333333339</v>
      </c>
    </row>
    <row r="73" spans="1:25">
      <c r="A73" s="6">
        <v>1</v>
      </c>
      <c r="B73" t="str">
        <f t="shared" si="2"/>
        <v>G</v>
      </c>
      <c r="C73" t="s">
        <v>40</v>
      </c>
      <c r="D73" t="str">
        <f t="shared" si="3"/>
        <v>G-制造业景气</v>
      </c>
      <c r="E73" t="s">
        <v>349</v>
      </c>
      <c r="F73" t="s">
        <v>350</v>
      </c>
      <c r="G73" t="s">
        <v>351</v>
      </c>
      <c r="H73">
        <v>1</v>
      </c>
      <c r="I73">
        <v>1</v>
      </c>
      <c r="J73">
        <v>0.5</v>
      </c>
      <c r="K73">
        <v>0.5</v>
      </c>
      <c r="L73">
        <v>3</v>
      </c>
      <c r="M73" t="b">
        <v>1</v>
      </c>
      <c r="N73" t="b">
        <v>1</v>
      </c>
      <c r="O73" t="b">
        <v>1</v>
      </c>
      <c r="P73" t="b">
        <v>0</v>
      </c>
      <c r="Q73" t="b">
        <v>1</v>
      </c>
      <c r="R73" t="b">
        <v>1</v>
      </c>
      <c r="S73" t="b">
        <v>1</v>
      </c>
      <c r="T73">
        <v>6</v>
      </c>
      <c r="U73" s="1">
        <v>0.52474756803597888</v>
      </c>
      <c r="V73" s="1">
        <v>1.0457050961369081</v>
      </c>
      <c r="W73" s="1">
        <v>1.6862697612054221E-3</v>
      </c>
      <c r="X73">
        <v>9</v>
      </c>
      <c r="Y73" s="1">
        <v>0.53333333333333333</v>
      </c>
    </row>
    <row r="74" spans="1:25">
      <c r="B74" t="str">
        <f t="shared" si="2"/>
        <v>G</v>
      </c>
      <c r="C74" t="s">
        <v>40</v>
      </c>
      <c r="D74" t="str">
        <f t="shared" si="3"/>
        <v>G-制造业景气</v>
      </c>
      <c r="E74" t="s">
        <v>352</v>
      </c>
      <c r="F74" t="s">
        <v>353</v>
      </c>
      <c r="G74" t="s">
        <v>354</v>
      </c>
      <c r="H74">
        <v>0</v>
      </c>
      <c r="I74">
        <v>0</v>
      </c>
      <c r="J74">
        <v>0.5</v>
      </c>
      <c r="K74">
        <v>0.5</v>
      </c>
      <c r="L74">
        <v>1</v>
      </c>
      <c r="M74" t="b">
        <v>1</v>
      </c>
      <c r="N74" t="b">
        <v>1</v>
      </c>
      <c r="O74" t="b">
        <v>1</v>
      </c>
      <c r="P74" t="b">
        <v>0</v>
      </c>
      <c r="Q74" t="b">
        <v>1</v>
      </c>
      <c r="R74" t="b">
        <v>1</v>
      </c>
      <c r="S74" t="b">
        <v>1</v>
      </c>
      <c r="T74">
        <v>6</v>
      </c>
      <c r="U74" s="1">
        <v>0.53183454847730383</v>
      </c>
      <c r="V74" s="1">
        <v>1.0023690457950061</v>
      </c>
      <c r="W74" s="1">
        <v>1.501703365704792E-3</v>
      </c>
      <c r="X74">
        <v>7</v>
      </c>
      <c r="Y74" s="1">
        <v>0.51458333333333317</v>
      </c>
    </row>
    <row r="75" spans="1:25">
      <c r="B75" t="str">
        <f t="shared" si="2"/>
        <v>G</v>
      </c>
      <c r="C75" t="s">
        <v>40</v>
      </c>
      <c r="D75" t="str">
        <f t="shared" si="3"/>
        <v>G-制造业景气</v>
      </c>
      <c r="E75" t="s">
        <v>355</v>
      </c>
      <c r="F75" t="s">
        <v>356</v>
      </c>
      <c r="G75" t="s">
        <v>357</v>
      </c>
      <c r="H75">
        <v>0</v>
      </c>
      <c r="I75">
        <v>0</v>
      </c>
      <c r="J75">
        <v>0</v>
      </c>
      <c r="K75">
        <v>0</v>
      </c>
      <c r="L75">
        <v>0</v>
      </c>
      <c r="M75" t="b">
        <v>1</v>
      </c>
      <c r="N75" t="b">
        <v>0</v>
      </c>
      <c r="O75" t="b">
        <v>0</v>
      </c>
      <c r="P75" t="b">
        <v>0</v>
      </c>
      <c r="Q75" t="b">
        <v>1</v>
      </c>
      <c r="R75" t="b">
        <v>0</v>
      </c>
      <c r="S75" t="b">
        <v>1</v>
      </c>
      <c r="T75">
        <v>3</v>
      </c>
      <c r="U75" s="1">
        <v>0.52419721049946</v>
      </c>
      <c r="V75" s="1">
        <v>0.94459657355004134</v>
      </c>
      <c r="W75" s="1">
        <v>4.5159438991090108E-4</v>
      </c>
      <c r="X75">
        <v>3</v>
      </c>
      <c r="Y75" s="1">
        <v>0.50416666666666665</v>
      </c>
    </row>
    <row r="76" spans="1:25">
      <c r="B76" t="str">
        <f t="shared" si="2"/>
        <v>G</v>
      </c>
      <c r="C76" t="s">
        <v>40</v>
      </c>
      <c r="D76" t="str">
        <f t="shared" si="3"/>
        <v>G-制造业景气</v>
      </c>
      <c r="E76" t="s">
        <v>355</v>
      </c>
      <c r="F76" t="s">
        <v>358</v>
      </c>
      <c r="G76" t="s">
        <v>359</v>
      </c>
      <c r="H76">
        <v>0</v>
      </c>
      <c r="I76">
        <v>0</v>
      </c>
      <c r="J76">
        <v>0.5</v>
      </c>
      <c r="K76">
        <v>0.5</v>
      </c>
      <c r="L76">
        <v>1</v>
      </c>
      <c r="M76" t="b">
        <v>1</v>
      </c>
      <c r="N76" t="b">
        <v>1</v>
      </c>
      <c r="O76" t="b">
        <v>0</v>
      </c>
      <c r="P76" t="b">
        <v>0</v>
      </c>
      <c r="Q76" t="b">
        <v>1</v>
      </c>
      <c r="R76" t="b">
        <v>0</v>
      </c>
      <c r="S76" t="b">
        <v>1</v>
      </c>
      <c r="T76">
        <v>4</v>
      </c>
      <c r="U76" s="1">
        <v>0.52490739820955012</v>
      </c>
      <c r="V76" s="1">
        <v>0.98621695223387074</v>
      </c>
      <c r="W76" s="1">
        <v>9.3833105238079061E-4</v>
      </c>
      <c r="X76">
        <v>5</v>
      </c>
      <c r="Y76" s="1">
        <v>0.48958333333333331</v>
      </c>
    </row>
    <row r="77" spans="1:25">
      <c r="B77" t="str">
        <f t="shared" si="2"/>
        <v>G</v>
      </c>
      <c r="C77" t="s">
        <v>40</v>
      </c>
      <c r="D77" t="str">
        <f t="shared" si="3"/>
        <v>G-制造业景气</v>
      </c>
      <c r="E77" t="s">
        <v>360</v>
      </c>
      <c r="F77" t="s">
        <v>361</v>
      </c>
      <c r="G77" t="s">
        <v>362</v>
      </c>
      <c r="H77">
        <v>1</v>
      </c>
      <c r="I77">
        <v>0</v>
      </c>
      <c r="J77">
        <v>0</v>
      </c>
      <c r="K77">
        <v>0</v>
      </c>
      <c r="L77">
        <v>1</v>
      </c>
      <c r="M77" t="b">
        <v>1</v>
      </c>
      <c r="N77" t="b">
        <v>1</v>
      </c>
      <c r="O77" t="b">
        <v>0</v>
      </c>
      <c r="P77" t="b">
        <v>0</v>
      </c>
      <c r="Q77" t="b">
        <v>1</v>
      </c>
      <c r="R77" t="b">
        <v>0</v>
      </c>
      <c r="S77" t="b">
        <v>1</v>
      </c>
      <c r="T77">
        <v>4</v>
      </c>
      <c r="U77" s="1">
        <v>0.52385342603099849</v>
      </c>
      <c r="V77" s="1">
        <v>0.99425612489242887</v>
      </c>
      <c r="W77" s="1">
        <v>9.6049323048263068E-4</v>
      </c>
      <c r="X77">
        <v>5</v>
      </c>
      <c r="Y77" s="1">
        <v>0.5</v>
      </c>
    </row>
    <row r="78" spans="1:25">
      <c r="B78" t="str">
        <f t="shared" si="2"/>
        <v>G</v>
      </c>
      <c r="C78" t="s">
        <v>40</v>
      </c>
      <c r="D78" t="str">
        <f t="shared" si="3"/>
        <v>G-制造业景气</v>
      </c>
      <c r="E78" t="s">
        <v>363</v>
      </c>
      <c r="F78" t="s">
        <v>364</v>
      </c>
      <c r="G78" t="s">
        <v>365</v>
      </c>
      <c r="H78">
        <v>0</v>
      </c>
      <c r="I78">
        <v>0</v>
      </c>
      <c r="J78">
        <v>0</v>
      </c>
      <c r="K78">
        <v>0</v>
      </c>
      <c r="L78">
        <v>0</v>
      </c>
      <c r="M78" t="b">
        <v>1</v>
      </c>
      <c r="N78" t="b">
        <v>1</v>
      </c>
      <c r="O78" t="b">
        <v>0</v>
      </c>
      <c r="P78" t="b">
        <v>0</v>
      </c>
      <c r="Q78" t="b">
        <v>1</v>
      </c>
      <c r="R78" t="b">
        <v>0</v>
      </c>
      <c r="S78" t="b">
        <v>1</v>
      </c>
      <c r="T78">
        <v>4</v>
      </c>
      <c r="U78" s="1">
        <v>0.5215411276937636</v>
      </c>
      <c r="V78" s="1">
        <v>0.99421938697117762</v>
      </c>
      <c r="W78" s="1">
        <v>8.7986369992323725E-4</v>
      </c>
      <c r="X78">
        <v>4</v>
      </c>
      <c r="Y78" s="1">
        <v>0.50624999999999998</v>
      </c>
    </row>
    <row r="79" spans="1:25">
      <c r="B79" t="str">
        <f t="shared" si="2"/>
        <v>G</v>
      </c>
      <c r="C79" t="s">
        <v>40</v>
      </c>
      <c r="D79" t="str">
        <f t="shared" si="3"/>
        <v>G-制造业景气</v>
      </c>
      <c r="E79" t="s">
        <v>366</v>
      </c>
      <c r="F79" t="s">
        <v>367</v>
      </c>
      <c r="G79" t="s">
        <v>368</v>
      </c>
      <c r="H79">
        <v>0</v>
      </c>
      <c r="I79">
        <v>0</v>
      </c>
      <c r="J79">
        <v>0</v>
      </c>
      <c r="K79">
        <v>0</v>
      </c>
      <c r="L79">
        <v>0</v>
      </c>
      <c r="M79" t="b">
        <v>1</v>
      </c>
      <c r="N79" t="b">
        <v>0</v>
      </c>
      <c r="O79" t="b">
        <v>0</v>
      </c>
      <c r="P79" t="b">
        <v>0</v>
      </c>
      <c r="Q79" t="b">
        <v>1</v>
      </c>
      <c r="R79" t="b">
        <v>0</v>
      </c>
      <c r="S79" t="b">
        <v>1</v>
      </c>
      <c r="T79">
        <v>3</v>
      </c>
      <c r="U79" s="1">
        <v>0.52086492340229962</v>
      </c>
      <c r="V79" s="1">
        <v>0.94548821010584394</v>
      </c>
      <c r="W79" s="1">
        <v>3.112942761380053E-4</v>
      </c>
      <c r="X79">
        <v>3</v>
      </c>
      <c r="Y79" s="1">
        <v>0.4927083333333333</v>
      </c>
    </row>
    <row r="80" spans="1:25">
      <c r="B80" t="str">
        <f t="shared" si="2"/>
        <v>G</v>
      </c>
      <c r="C80" t="s">
        <v>40</v>
      </c>
      <c r="D80" t="str">
        <f t="shared" si="3"/>
        <v>G-制造业景气</v>
      </c>
      <c r="E80" t="s">
        <v>369</v>
      </c>
      <c r="F80">
        <v>0</v>
      </c>
      <c r="G80" t="s">
        <v>370</v>
      </c>
      <c r="H80">
        <v>0</v>
      </c>
      <c r="I80">
        <v>1</v>
      </c>
      <c r="J80">
        <v>0.5</v>
      </c>
      <c r="K80">
        <v>0.5</v>
      </c>
      <c r="L80">
        <v>2</v>
      </c>
      <c r="M80" t="b">
        <v>0</v>
      </c>
      <c r="N80" t="b">
        <v>1</v>
      </c>
      <c r="O80" t="b">
        <v>0</v>
      </c>
      <c r="P80" t="b">
        <v>0</v>
      </c>
      <c r="Q80" t="b">
        <v>1</v>
      </c>
      <c r="R80" t="b">
        <v>0</v>
      </c>
      <c r="S80" t="b">
        <v>1</v>
      </c>
      <c r="T80">
        <v>3</v>
      </c>
      <c r="U80" s="1">
        <v>0.52297107379691177</v>
      </c>
      <c r="V80" s="1">
        <v>0.97141283441043369</v>
      </c>
      <c r="W80" s="1">
        <v>6.8661176225300459E-4</v>
      </c>
      <c r="X80">
        <v>5</v>
      </c>
      <c r="Y80" s="1">
        <v>0.48958333333333331</v>
      </c>
    </row>
    <row r="81" spans="1:25">
      <c r="B81" t="str">
        <f t="shared" si="2"/>
        <v>G</v>
      </c>
      <c r="C81" t="s">
        <v>40</v>
      </c>
      <c r="D81" t="str">
        <f t="shared" si="3"/>
        <v>G-制造业景气</v>
      </c>
      <c r="E81" t="s">
        <v>349</v>
      </c>
      <c r="F81" t="s">
        <v>371</v>
      </c>
      <c r="G81" t="s">
        <v>372</v>
      </c>
      <c r="H81">
        <v>0</v>
      </c>
      <c r="I81">
        <v>1</v>
      </c>
      <c r="J81">
        <v>0</v>
      </c>
      <c r="K81">
        <v>0</v>
      </c>
      <c r="L81">
        <v>1</v>
      </c>
      <c r="M81" t="b">
        <v>1</v>
      </c>
      <c r="N81" t="b">
        <v>1</v>
      </c>
      <c r="O81" t="b">
        <v>0</v>
      </c>
      <c r="P81" t="b">
        <v>1</v>
      </c>
      <c r="Q81" t="b">
        <v>1</v>
      </c>
      <c r="R81" t="b">
        <v>0</v>
      </c>
      <c r="S81" t="b">
        <v>1</v>
      </c>
      <c r="T81">
        <v>5</v>
      </c>
      <c r="U81" s="1">
        <v>0.52751458540089802</v>
      </c>
      <c r="V81" s="1">
        <v>0.98862898551390033</v>
      </c>
      <c r="W81" s="1">
        <v>1.036979183638451E-3</v>
      </c>
      <c r="X81">
        <v>6</v>
      </c>
      <c r="Y81" s="1">
        <v>0.50208333333333333</v>
      </c>
    </row>
    <row r="82" spans="1:25">
      <c r="B82" t="str">
        <f t="shared" si="2"/>
        <v>G</v>
      </c>
      <c r="C82" t="s">
        <v>40</v>
      </c>
      <c r="D82" t="str">
        <f t="shared" si="3"/>
        <v>G-制造业景气</v>
      </c>
      <c r="E82" t="s">
        <v>349</v>
      </c>
      <c r="F82" t="s">
        <v>373</v>
      </c>
      <c r="G82" t="s">
        <v>374</v>
      </c>
      <c r="H82">
        <v>1</v>
      </c>
      <c r="I82">
        <v>1</v>
      </c>
      <c r="J82">
        <v>0.5</v>
      </c>
      <c r="K82">
        <v>0.5</v>
      </c>
      <c r="L82">
        <v>3</v>
      </c>
      <c r="M82" t="b">
        <v>1</v>
      </c>
      <c r="N82" t="b">
        <v>1</v>
      </c>
      <c r="O82" t="b">
        <v>1</v>
      </c>
      <c r="P82" t="b">
        <v>0</v>
      </c>
      <c r="Q82" t="b">
        <v>1</v>
      </c>
      <c r="R82" t="b">
        <v>1</v>
      </c>
      <c r="S82" t="b">
        <v>1</v>
      </c>
      <c r="T82">
        <v>6</v>
      </c>
      <c r="U82" s="1">
        <v>0.52474756803597888</v>
      </c>
      <c r="V82" s="1">
        <v>1.0457050961369081</v>
      </c>
      <c r="W82" s="1">
        <v>1.6862697612054221E-3</v>
      </c>
      <c r="X82">
        <v>9</v>
      </c>
      <c r="Y82" s="1">
        <v>0.53333333333333333</v>
      </c>
    </row>
    <row r="83" spans="1:25">
      <c r="B83" t="str">
        <f t="shared" si="2"/>
        <v>G</v>
      </c>
      <c r="C83" t="s">
        <v>40</v>
      </c>
      <c r="D83" t="str">
        <f t="shared" si="3"/>
        <v>G-制造业景气</v>
      </c>
      <c r="E83" t="s">
        <v>375</v>
      </c>
      <c r="F83" t="s">
        <v>376</v>
      </c>
      <c r="G83" t="s">
        <v>377</v>
      </c>
      <c r="H83">
        <v>1</v>
      </c>
      <c r="I83">
        <v>0</v>
      </c>
      <c r="J83">
        <v>0</v>
      </c>
      <c r="K83">
        <v>0</v>
      </c>
      <c r="L83">
        <v>1</v>
      </c>
      <c r="M83" t="b">
        <v>1</v>
      </c>
      <c r="N83" t="b">
        <v>1</v>
      </c>
      <c r="O83" t="b">
        <v>0</v>
      </c>
      <c r="P83" t="b">
        <v>0</v>
      </c>
      <c r="Q83" t="b">
        <v>1</v>
      </c>
      <c r="R83" t="b">
        <v>0</v>
      </c>
      <c r="S83" t="b">
        <v>1</v>
      </c>
      <c r="T83">
        <v>4</v>
      </c>
      <c r="U83" s="1">
        <v>0.52473630086481671</v>
      </c>
      <c r="V83" s="1">
        <v>0.95379503986303116</v>
      </c>
      <c r="W83" s="1">
        <v>5.7138869252275316E-4</v>
      </c>
      <c r="X83">
        <v>5</v>
      </c>
      <c r="Y83" s="1">
        <v>0.49791666666666667</v>
      </c>
    </row>
    <row r="84" spans="1:25">
      <c r="B84" t="str">
        <f t="shared" si="2"/>
        <v>G</v>
      </c>
      <c r="C84" t="s">
        <v>40</v>
      </c>
      <c r="D84" t="str">
        <f t="shared" si="3"/>
        <v>G-制造业景气</v>
      </c>
      <c r="E84" t="s">
        <v>378</v>
      </c>
      <c r="F84" t="s">
        <v>379</v>
      </c>
      <c r="G84" t="s">
        <v>380</v>
      </c>
      <c r="H84">
        <v>0</v>
      </c>
      <c r="I84">
        <v>0</v>
      </c>
      <c r="J84">
        <v>0</v>
      </c>
      <c r="K84">
        <v>0</v>
      </c>
      <c r="L84">
        <v>0</v>
      </c>
      <c r="M84" t="b">
        <v>1</v>
      </c>
      <c r="N84" t="b">
        <v>1</v>
      </c>
      <c r="O84" t="b">
        <v>0</v>
      </c>
      <c r="P84" t="b">
        <v>0</v>
      </c>
      <c r="Q84" t="b">
        <v>0</v>
      </c>
      <c r="R84" t="b">
        <v>0</v>
      </c>
      <c r="S84" t="b">
        <v>1</v>
      </c>
      <c r="T84">
        <v>3</v>
      </c>
      <c r="U84" s="1">
        <v>0.51947357098692615</v>
      </c>
      <c r="V84" s="1">
        <v>0.98552996927856173</v>
      </c>
      <c r="W84" s="1">
        <v>7.0219500409280863E-4</v>
      </c>
      <c r="X84">
        <v>3</v>
      </c>
      <c r="Y84" s="1">
        <v>0.47916666666666657</v>
      </c>
    </row>
    <row r="85" spans="1:25">
      <c r="B85" t="str">
        <f t="shared" si="2"/>
        <v>G</v>
      </c>
      <c r="C85" t="s">
        <v>40</v>
      </c>
      <c r="D85" t="str">
        <f t="shared" si="3"/>
        <v>G-制造业景气</v>
      </c>
      <c r="E85" t="s">
        <v>381</v>
      </c>
      <c r="F85" t="s">
        <v>288</v>
      </c>
      <c r="G85" t="s">
        <v>382</v>
      </c>
      <c r="H85">
        <v>0</v>
      </c>
      <c r="I85">
        <v>1</v>
      </c>
      <c r="J85">
        <v>0</v>
      </c>
      <c r="K85">
        <v>0</v>
      </c>
      <c r="L85">
        <v>1</v>
      </c>
      <c r="M85" t="b">
        <v>1</v>
      </c>
      <c r="N85" t="b">
        <v>1</v>
      </c>
      <c r="O85" t="b">
        <v>0</v>
      </c>
      <c r="P85" t="b">
        <v>0</v>
      </c>
      <c r="Q85" t="b">
        <v>0</v>
      </c>
      <c r="R85" t="b">
        <v>1</v>
      </c>
      <c r="S85" t="b">
        <v>1</v>
      </c>
      <c r="T85">
        <v>4</v>
      </c>
      <c r="U85" s="1">
        <v>0.51414201995301645</v>
      </c>
      <c r="V85" s="1">
        <v>1.0038620459846359</v>
      </c>
      <c r="W85" s="1">
        <v>6.6112350746994964E-4</v>
      </c>
      <c r="X85">
        <v>5</v>
      </c>
      <c r="Y85" s="1">
        <v>0.48020833333333329</v>
      </c>
    </row>
    <row r="86" spans="1:25">
      <c r="B86" t="str">
        <f t="shared" si="2"/>
        <v>G</v>
      </c>
      <c r="C86" t="s">
        <v>40</v>
      </c>
      <c r="D86" t="str">
        <f t="shared" si="3"/>
        <v>G-制造业景气</v>
      </c>
      <c r="E86" t="s">
        <v>383</v>
      </c>
      <c r="F86" t="s">
        <v>384</v>
      </c>
      <c r="G86" t="s">
        <v>385</v>
      </c>
      <c r="H86">
        <v>0</v>
      </c>
      <c r="I86">
        <v>0</v>
      </c>
      <c r="J86">
        <v>0</v>
      </c>
      <c r="K86">
        <v>0.5</v>
      </c>
      <c r="L86">
        <v>0.5</v>
      </c>
      <c r="M86" t="b">
        <v>1</v>
      </c>
      <c r="N86" t="b">
        <v>1</v>
      </c>
      <c r="O86" t="b">
        <v>0</v>
      </c>
      <c r="P86" t="b">
        <v>0</v>
      </c>
      <c r="Q86" t="b">
        <v>1</v>
      </c>
      <c r="R86" t="b">
        <v>0</v>
      </c>
      <c r="S86" t="b">
        <v>1</v>
      </c>
      <c r="T86">
        <v>4</v>
      </c>
      <c r="U86" s="1">
        <v>0.52875219105308346</v>
      </c>
      <c r="V86" s="1">
        <v>0.98585757968573673</v>
      </c>
      <c r="W86" s="1">
        <v>1.1002236290749579E-3</v>
      </c>
      <c r="X86">
        <v>4.5</v>
      </c>
      <c r="Y86" s="1">
        <v>0.48958333333333331</v>
      </c>
    </row>
    <row r="87" spans="1:25">
      <c r="B87" t="str">
        <f t="shared" si="2"/>
        <v>G</v>
      </c>
      <c r="C87" t="s">
        <v>40</v>
      </c>
      <c r="D87" t="str">
        <f t="shared" si="3"/>
        <v>G-制造业景气</v>
      </c>
      <c r="E87" t="s">
        <v>386</v>
      </c>
      <c r="F87" t="s">
        <v>387</v>
      </c>
      <c r="G87" t="s">
        <v>388</v>
      </c>
      <c r="H87">
        <v>0</v>
      </c>
      <c r="I87">
        <v>1</v>
      </c>
      <c r="J87">
        <v>0.5</v>
      </c>
      <c r="K87">
        <v>0.5</v>
      </c>
      <c r="L87">
        <v>2</v>
      </c>
      <c r="M87" t="b">
        <v>1</v>
      </c>
      <c r="N87" t="b">
        <v>1</v>
      </c>
      <c r="O87" t="b">
        <v>0</v>
      </c>
      <c r="P87" t="b">
        <v>0</v>
      </c>
      <c r="Q87" t="b">
        <v>1</v>
      </c>
      <c r="R87" t="b">
        <v>1</v>
      </c>
      <c r="S87" t="b">
        <v>1</v>
      </c>
      <c r="T87">
        <v>5</v>
      </c>
      <c r="U87" s="1">
        <v>0.52283759287270481</v>
      </c>
      <c r="V87" s="1">
        <v>1.008298428009464</v>
      </c>
      <c r="W87" s="1">
        <v>1.1394880681367941E-3</v>
      </c>
      <c r="X87">
        <v>7</v>
      </c>
      <c r="Y87" s="1">
        <v>0.50104166666666661</v>
      </c>
    </row>
    <row r="88" spans="1:25">
      <c r="B88" t="str">
        <f t="shared" si="2"/>
        <v>G</v>
      </c>
      <c r="C88" t="s">
        <v>40</v>
      </c>
      <c r="D88" t="str">
        <f t="shared" si="3"/>
        <v>G-制造业景气</v>
      </c>
      <c r="E88" t="s">
        <v>386</v>
      </c>
      <c r="F88" t="s">
        <v>389</v>
      </c>
      <c r="G88" t="s">
        <v>390</v>
      </c>
      <c r="H88">
        <v>0</v>
      </c>
      <c r="I88">
        <v>1</v>
      </c>
      <c r="J88">
        <v>0.5</v>
      </c>
      <c r="K88">
        <v>0.5</v>
      </c>
      <c r="L88">
        <v>2</v>
      </c>
      <c r="M88" t="b">
        <v>1</v>
      </c>
      <c r="N88" t="b">
        <v>1</v>
      </c>
      <c r="O88" t="b">
        <v>0</v>
      </c>
      <c r="P88" t="b">
        <v>0</v>
      </c>
      <c r="Q88" t="b">
        <v>1</v>
      </c>
      <c r="R88" t="b">
        <v>1</v>
      </c>
      <c r="S88" t="b">
        <v>1</v>
      </c>
      <c r="T88">
        <v>5</v>
      </c>
      <c r="U88" s="1">
        <v>0.52675871688715892</v>
      </c>
      <c r="V88" s="1">
        <v>1.01381851832546</v>
      </c>
      <c r="W88" s="1">
        <v>1.3868545289599059E-3</v>
      </c>
      <c r="X88">
        <v>7</v>
      </c>
      <c r="Y88" s="1">
        <v>0.4916666666666667</v>
      </c>
    </row>
    <row r="89" spans="1:25">
      <c r="B89" t="str">
        <f t="shared" si="2"/>
        <v>G</v>
      </c>
      <c r="C89" t="s">
        <v>40</v>
      </c>
      <c r="D89" t="str">
        <f t="shared" si="3"/>
        <v>G-制造业景气</v>
      </c>
      <c r="E89" t="s">
        <v>391</v>
      </c>
      <c r="F89" t="s">
        <v>392</v>
      </c>
      <c r="G89" t="s">
        <v>393</v>
      </c>
      <c r="H89">
        <v>0</v>
      </c>
      <c r="I89">
        <v>0</v>
      </c>
      <c r="J89">
        <v>0</v>
      </c>
      <c r="K89">
        <v>0</v>
      </c>
      <c r="L89">
        <v>0</v>
      </c>
      <c r="M89" t="b">
        <v>1</v>
      </c>
      <c r="N89" t="b">
        <v>1</v>
      </c>
      <c r="O89" t="b">
        <v>0</v>
      </c>
      <c r="P89" t="b">
        <v>0</v>
      </c>
      <c r="Q89" t="b">
        <v>0</v>
      </c>
      <c r="R89" t="b">
        <v>1</v>
      </c>
      <c r="S89" t="b">
        <v>1</v>
      </c>
      <c r="T89">
        <v>4</v>
      </c>
      <c r="U89" s="1">
        <v>0.51899745838035249</v>
      </c>
      <c r="V89" s="1">
        <v>1.007972053216962</v>
      </c>
      <c r="W89" s="1">
        <v>9.4091356956330953E-4</v>
      </c>
      <c r="X89">
        <v>4</v>
      </c>
      <c r="Y89" s="1">
        <v>0.48229166666666667</v>
      </c>
    </row>
    <row r="90" spans="1:25">
      <c r="B90" t="str">
        <f t="shared" si="2"/>
        <v>G</v>
      </c>
      <c r="C90" t="s">
        <v>40</v>
      </c>
      <c r="D90" t="str">
        <f t="shared" si="3"/>
        <v>G-制造业景气</v>
      </c>
      <c r="E90" t="s">
        <v>394</v>
      </c>
      <c r="F90" t="s">
        <v>395</v>
      </c>
      <c r="G90" t="s">
        <v>396</v>
      </c>
      <c r="H90">
        <v>1</v>
      </c>
      <c r="I90">
        <v>1</v>
      </c>
      <c r="J90">
        <v>0</v>
      </c>
      <c r="K90">
        <v>0.5</v>
      </c>
      <c r="L90">
        <v>2.5</v>
      </c>
      <c r="M90" t="b">
        <v>1</v>
      </c>
      <c r="N90" t="b">
        <v>1</v>
      </c>
      <c r="O90" t="b">
        <v>0</v>
      </c>
      <c r="P90" t="b">
        <v>0</v>
      </c>
      <c r="Q90" t="b">
        <v>1</v>
      </c>
      <c r="R90" t="b">
        <v>0</v>
      </c>
      <c r="S90" t="b">
        <v>1</v>
      </c>
      <c r="T90">
        <v>4</v>
      </c>
      <c r="U90" s="1">
        <v>0.52312828046027349</v>
      </c>
      <c r="V90" s="1">
        <v>0.99624199065527641</v>
      </c>
      <c r="W90" s="1">
        <v>9.3691513229037546E-4</v>
      </c>
      <c r="X90">
        <v>6.5</v>
      </c>
      <c r="Y90" s="1">
        <v>0.4885416666666666</v>
      </c>
    </row>
    <row r="91" spans="1:25">
      <c r="B91" t="str">
        <f t="shared" si="2"/>
        <v>G</v>
      </c>
      <c r="C91" t="s">
        <v>43</v>
      </c>
      <c r="D91" t="str">
        <f t="shared" si="3"/>
        <v>G-信贷与货币</v>
      </c>
      <c r="E91" t="s">
        <v>397</v>
      </c>
      <c r="F91" t="s">
        <v>273</v>
      </c>
      <c r="G91" t="s">
        <v>398</v>
      </c>
      <c r="H91">
        <v>0</v>
      </c>
      <c r="I91">
        <v>1</v>
      </c>
      <c r="J91">
        <v>0.5</v>
      </c>
      <c r="K91">
        <v>0</v>
      </c>
      <c r="L91">
        <v>1.5</v>
      </c>
      <c r="M91" t="b">
        <v>0</v>
      </c>
      <c r="N91" t="b">
        <v>1</v>
      </c>
      <c r="O91" t="b">
        <v>0</v>
      </c>
      <c r="P91" t="b">
        <v>0</v>
      </c>
      <c r="Q91" t="b">
        <v>1</v>
      </c>
      <c r="R91" t="b">
        <v>0</v>
      </c>
      <c r="S91" t="b">
        <v>1</v>
      </c>
      <c r="T91">
        <v>3</v>
      </c>
      <c r="U91" s="1">
        <v>0.52440429771648012</v>
      </c>
      <c r="V91" s="1">
        <v>0.98858428749638594</v>
      </c>
      <c r="W91" s="1">
        <v>1.0661592368144479E-3</v>
      </c>
      <c r="X91">
        <v>4.5</v>
      </c>
      <c r="Y91" s="1">
        <v>0.51041666666666663</v>
      </c>
    </row>
    <row r="92" spans="1:25">
      <c r="A92" s="6">
        <v>1</v>
      </c>
      <c r="B92" t="str">
        <f t="shared" si="2"/>
        <v>G</v>
      </c>
      <c r="C92" t="s">
        <v>43</v>
      </c>
      <c r="D92" t="str">
        <f t="shared" si="3"/>
        <v>G-信贷与货币</v>
      </c>
      <c r="E92" t="s">
        <v>399</v>
      </c>
      <c r="F92" t="s">
        <v>400</v>
      </c>
      <c r="G92" t="s">
        <v>401</v>
      </c>
      <c r="H92">
        <v>1</v>
      </c>
      <c r="I92">
        <v>1</v>
      </c>
      <c r="J92">
        <v>0</v>
      </c>
      <c r="K92">
        <v>0</v>
      </c>
      <c r="L92">
        <v>2</v>
      </c>
      <c r="M92" t="b">
        <v>0</v>
      </c>
      <c r="N92" t="b">
        <v>1</v>
      </c>
      <c r="O92" t="b">
        <v>0</v>
      </c>
      <c r="P92" t="b">
        <v>0</v>
      </c>
      <c r="Q92" t="b">
        <v>1</v>
      </c>
      <c r="R92" t="b">
        <v>0</v>
      </c>
      <c r="S92" t="b">
        <v>1</v>
      </c>
      <c r="T92">
        <v>3</v>
      </c>
      <c r="U92" s="1">
        <v>0.52752985934700758</v>
      </c>
      <c r="V92" s="1">
        <v>0.98130860300360712</v>
      </c>
      <c r="W92" s="1">
        <v>1.028149792052128E-3</v>
      </c>
      <c r="X92">
        <v>5</v>
      </c>
      <c r="Y92" s="1">
        <v>0.53125</v>
      </c>
    </row>
    <row r="93" spans="1:25">
      <c r="B93" t="str">
        <f t="shared" si="2"/>
        <v>G</v>
      </c>
      <c r="C93" t="s">
        <v>43</v>
      </c>
      <c r="D93" t="str">
        <f t="shared" si="3"/>
        <v>G-信贷与货币</v>
      </c>
      <c r="E93" t="s">
        <v>397</v>
      </c>
      <c r="F93" t="s">
        <v>273</v>
      </c>
      <c r="G93" t="s">
        <v>402</v>
      </c>
      <c r="H93">
        <v>0</v>
      </c>
      <c r="I93">
        <v>0</v>
      </c>
      <c r="J93">
        <v>0</v>
      </c>
      <c r="K93">
        <v>0</v>
      </c>
      <c r="L93">
        <v>0</v>
      </c>
      <c r="M93" t="b">
        <v>1</v>
      </c>
      <c r="N93" t="b">
        <v>1</v>
      </c>
      <c r="O93" t="b">
        <v>0</v>
      </c>
      <c r="P93" t="b">
        <v>0</v>
      </c>
      <c r="Q93" t="b">
        <v>1</v>
      </c>
      <c r="R93" t="b">
        <v>1</v>
      </c>
      <c r="S93" t="b">
        <v>1</v>
      </c>
      <c r="T93">
        <v>5</v>
      </c>
      <c r="U93" s="1">
        <v>0.52189346860562202</v>
      </c>
      <c r="V93" s="1">
        <v>1.0277144499423521</v>
      </c>
      <c r="W93" s="1">
        <v>1.2590615828467449E-3</v>
      </c>
      <c r="X93">
        <v>5</v>
      </c>
      <c r="Y93" s="1">
        <v>0.52916666666666656</v>
      </c>
    </row>
    <row r="94" spans="1:25">
      <c r="B94" t="str">
        <f t="shared" si="2"/>
        <v>G</v>
      </c>
      <c r="C94" t="s">
        <v>46</v>
      </c>
      <c r="D94" t="str">
        <f t="shared" si="3"/>
        <v>G-消费与内需</v>
      </c>
      <c r="E94" t="s">
        <v>403</v>
      </c>
      <c r="F94" t="s">
        <v>400</v>
      </c>
      <c r="G94" t="s">
        <v>404</v>
      </c>
      <c r="H94">
        <v>1</v>
      </c>
      <c r="I94">
        <v>1</v>
      </c>
      <c r="J94">
        <v>0</v>
      </c>
      <c r="K94">
        <v>0</v>
      </c>
      <c r="L94">
        <v>2</v>
      </c>
      <c r="M94" t="b">
        <v>0</v>
      </c>
      <c r="N94" t="b">
        <v>1</v>
      </c>
      <c r="O94" t="b">
        <v>0</v>
      </c>
      <c r="P94" t="b">
        <v>0</v>
      </c>
      <c r="Q94" t="b">
        <v>0</v>
      </c>
      <c r="R94" t="b">
        <v>1</v>
      </c>
      <c r="S94" t="b">
        <v>1</v>
      </c>
      <c r="T94">
        <v>3</v>
      </c>
      <c r="U94" s="1">
        <v>0.51928721084131091</v>
      </c>
      <c r="V94" s="1">
        <v>1.0189732811356551</v>
      </c>
      <c r="W94" s="1">
        <v>1.0491169395312481E-3</v>
      </c>
      <c r="X94">
        <v>5</v>
      </c>
      <c r="Y94" s="1">
        <v>0.4885416666666666</v>
      </c>
    </row>
    <row r="95" spans="1:25">
      <c r="B95" t="str">
        <f t="shared" si="2"/>
        <v>G</v>
      </c>
      <c r="C95" t="s">
        <v>46</v>
      </c>
      <c r="D95" t="str">
        <f t="shared" si="3"/>
        <v>G-消费与内需</v>
      </c>
      <c r="E95" t="s">
        <v>403</v>
      </c>
      <c r="F95" t="s">
        <v>400</v>
      </c>
      <c r="G95" t="s">
        <v>405</v>
      </c>
      <c r="H95">
        <v>0</v>
      </c>
      <c r="I95">
        <v>0</v>
      </c>
      <c r="J95">
        <v>0</v>
      </c>
      <c r="K95">
        <v>0</v>
      </c>
      <c r="L95">
        <v>0</v>
      </c>
      <c r="M95" t="b">
        <v>1</v>
      </c>
      <c r="N95" t="b">
        <v>1</v>
      </c>
      <c r="O95" t="b">
        <v>0</v>
      </c>
      <c r="P95" t="b">
        <v>1</v>
      </c>
      <c r="Q95" t="b">
        <v>1</v>
      </c>
      <c r="R95" t="b">
        <v>0</v>
      </c>
      <c r="S95" t="b">
        <v>1</v>
      </c>
      <c r="T95">
        <v>5</v>
      </c>
      <c r="U95" s="1">
        <v>0.52263673480101147</v>
      </c>
      <c r="V95" s="1">
        <v>0.99683129978024765</v>
      </c>
      <c r="W95" s="1">
        <v>9.4602479785336102E-4</v>
      </c>
      <c r="X95">
        <v>5</v>
      </c>
      <c r="Y95" s="1">
        <v>0.49895833333333328</v>
      </c>
    </row>
    <row r="96" spans="1:25">
      <c r="B96" t="str">
        <f t="shared" si="2"/>
        <v>G</v>
      </c>
      <c r="C96" t="s">
        <v>46</v>
      </c>
      <c r="D96" t="str">
        <f t="shared" si="3"/>
        <v>G-消费与内需</v>
      </c>
      <c r="E96" t="s">
        <v>406</v>
      </c>
      <c r="F96" t="s">
        <v>200</v>
      </c>
      <c r="G96" t="s">
        <v>407</v>
      </c>
      <c r="H96">
        <v>0</v>
      </c>
      <c r="I96">
        <v>0</v>
      </c>
      <c r="J96">
        <v>0.5</v>
      </c>
      <c r="K96">
        <v>0</v>
      </c>
      <c r="L96">
        <v>0.5</v>
      </c>
      <c r="M96" t="b">
        <v>1</v>
      </c>
      <c r="N96" t="b">
        <v>1</v>
      </c>
      <c r="O96" t="b">
        <v>0</v>
      </c>
      <c r="P96" t="b">
        <v>0</v>
      </c>
      <c r="Q96" t="b">
        <v>1</v>
      </c>
      <c r="R96" t="b">
        <v>0</v>
      </c>
      <c r="S96" t="b">
        <v>1</v>
      </c>
      <c r="T96">
        <v>4</v>
      </c>
      <c r="U96" s="1">
        <v>0.52613956227895009</v>
      </c>
      <c r="V96" s="1">
        <v>0.98712082797356504</v>
      </c>
      <c r="W96" s="1">
        <v>1.0367179143883161E-3</v>
      </c>
      <c r="X96">
        <v>4.5</v>
      </c>
      <c r="Y96" s="1">
        <v>0.50312500000000004</v>
      </c>
    </row>
    <row r="97" spans="2:25">
      <c r="B97" t="str">
        <f t="shared" si="2"/>
        <v>G</v>
      </c>
      <c r="C97" t="s">
        <v>46</v>
      </c>
      <c r="D97" t="str">
        <f t="shared" si="3"/>
        <v>G-消费与内需</v>
      </c>
      <c r="E97" t="s">
        <v>408</v>
      </c>
      <c r="F97" t="s">
        <v>273</v>
      </c>
      <c r="G97" t="s">
        <v>409</v>
      </c>
      <c r="H97">
        <v>1</v>
      </c>
      <c r="I97">
        <v>1</v>
      </c>
      <c r="J97">
        <v>0</v>
      </c>
      <c r="K97">
        <v>0</v>
      </c>
      <c r="L97">
        <v>2</v>
      </c>
      <c r="M97" t="b">
        <v>1</v>
      </c>
      <c r="N97" t="b">
        <v>1</v>
      </c>
      <c r="O97" t="b">
        <v>0</v>
      </c>
      <c r="P97" t="b">
        <v>0</v>
      </c>
      <c r="Q97" t="b">
        <v>0</v>
      </c>
      <c r="R97" t="b">
        <v>0</v>
      </c>
      <c r="S97" t="b">
        <v>1</v>
      </c>
      <c r="T97">
        <v>3</v>
      </c>
      <c r="U97" s="1">
        <v>0.51986729195385273</v>
      </c>
      <c r="V97" s="1">
        <v>0.99873151112974357</v>
      </c>
      <c r="W97" s="1">
        <v>8.8419369268484711E-4</v>
      </c>
      <c r="X97">
        <v>5</v>
      </c>
      <c r="Y97" s="1">
        <v>0.49375000000000002</v>
      </c>
    </row>
    <row r="98" spans="2:25">
      <c r="B98" t="str">
        <f t="shared" si="2"/>
        <v>G</v>
      </c>
      <c r="C98" t="s">
        <v>46</v>
      </c>
      <c r="D98" t="str">
        <f t="shared" si="3"/>
        <v>G-消费与内需</v>
      </c>
      <c r="E98" t="s">
        <v>408</v>
      </c>
      <c r="F98" t="s">
        <v>410</v>
      </c>
      <c r="G98" t="s">
        <v>411</v>
      </c>
      <c r="H98">
        <v>0</v>
      </c>
      <c r="I98">
        <v>0</v>
      </c>
      <c r="J98">
        <v>0.5</v>
      </c>
      <c r="K98">
        <v>0.5</v>
      </c>
      <c r="L98">
        <v>1</v>
      </c>
      <c r="M98" t="b">
        <v>0</v>
      </c>
      <c r="N98" t="b">
        <v>1</v>
      </c>
      <c r="O98" t="b">
        <v>0</v>
      </c>
      <c r="P98" t="b">
        <v>0</v>
      </c>
      <c r="Q98" t="b">
        <v>1</v>
      </c>
      <c r="R98" t="b">
        <v>0</v>
      </c>
      <c r="S98" t="b">
        <v>1</v>
      </c>
      <c r="T98">
        <v>3</v>
      </c>
      <c r="U98" s="1">
        <v>0.52440429771648012</v>
      </c>
      <c r="V98" s="1">
        <v>0.98858428749638594</v>
      </c>
      <c r="W98" s="1">
        <v>1.0661592368144479E-3</v>
      </c>
      <c r="X98">
        <v>4</v>
      </c>
      <c r="Y98" s="1">
        <v>0.51041666666666663</v>
      </c>
    </row>
    <row r="99" spans="2:25">
      <c r="B99" t="str">
        <f t="shared" si="2"/>
        <v>G</v>
      </c>
      <c r="C99" t="s">
        <v>46</v>
      </c>
      <c r="D99" t="str">
        <f t="shared" si="3"/>
        <v>G-消费与内需</v>
      </c>
      <c r="E99" t="s">
        <v>408</v>
      </c>
      <c r="F99" t="s">
        <v>412</v>
      </c>
      <c r="G99" t="s">
        <v>413</v>
      </c>
      <c r="H99">
        <v>0</v>
      </c>
      <c r="I99">
        <v>1</v>
      </c>
      <c r="J99">
        <v>0.5</v>
      </c>
      <c r="K99">
        <v>0.5</v>
      </c>
      <c r="L99">
        <v>2</v>
      </c>
      <c r="M99" t="b">
        <v>1</v>
      </c>
      <c r="N99" t="b">
        <v>1</v>
      </c>
      <c r="O99" t="b">
        <v>0</v>
      </c>
      <c r="P99" t="b">
        <v>0</v>
      </c>
      <c r="Q99" t="b">
        <v>1</v>
      </c>
      <c r="R99" t="b">
        <v>0</v>
      </c>
      <c r="S99" t="b">
        <v>1</v>
      </c>
      <c r="T99">
        <v>4</v>
      </c>
      <c r="U99" s="1">
        <v>0.5246021917033149</v>
      </c>
      <c r="V99" s="1">
        <v>0.98418761743511429</v>
      </c>
      <c r="W99" s="1">
        <v>9.3761370565430063E-4</v>
      </c>
      <c r="X99">
        <v>6</v>
      </c>
      <c r="Y99" s="1">
        <v>0.51145833333333335</v>
      </c>
    </row>
    <row r="100" spans="2:25">
      <c r="B100" t="str">
        <f t="shared" si="2"/>
        <v>G</v>
      </c>
      <c r="C100" t="s">
        <v>46</v>
      </c>
      <c r="D100" t="str">
        <f t="shared" si="3"/>
        <v>G-消费与内需</v>
      </c>
      <c r="E100" t="s">
        <v>414</v>
      </c>
      <c r="F100" t="s">
        <v>262</v>
      </c>
      <c r="G100" t="s">
        <v>415</v>
      </c>
      <c r="H100">
        <v>0</v>
      </c>
      <c r="I100">
        <v>1</v>
      </c>
      <c r="J100">
        <v>0</v>
      </c>
      <c r="K100">
        <v>0</v>
      </c>
      <c r="L100">
        <v>1</v>
      </c>
      <c r="M100" t="b">
        <v>0</v>
      </c>
      <c r="N100" t="b">
        <v>1</v>
      </c>
      <c r="O100" t="b">
        <v>0</v>
      </c>
      <c r="P100" t="b">
        <v>0</v>
      </c>
      <c r="Q100" t="b">
        <v>1</v>
      </c>
      <c r="R100" t="b">
        <v>0</v>
      </c>
      <c r="S100" t="b">
        <v>1</v>
      </c>
      <c r="T100">
        <v>3</v>
      </c>
      <c r="U100" s="1">
        <v>0.52107857442558991</v>
      </c>
      <c r="V100" s="1">
        <v>0.97497187423912757</v>
      </c>
      <c r="W100" s="1">
        <v>7.1489521220244703E-4</v>
      </c>
      <c r="X100">
        <v>4</v>
      </c>
      <c r="Y100" s="1">
        <v>0.515625</v>
      </c>
    </row>
    <row r="101" spans="2:25">
      <c r="B101" t="str">
        <f t="shared" si="2"/>
        <v>G</v>
      </c>
      <c r="C101" t="s">
        <v>46</v>
      </c>
      <c r="D101" t="str">
        <f t="shared" si="3"/>
        <v>G-消费与内需</v>
      </c>
      <c r="E101" t="s">
        <v>416</v>
      </c>
      <c r="F101" t="s">
        <v>417</v>
      </c>
      <c r="G101" t="s">
        <v>418</v>
      </c>
      <c r="H101">
        <v>0</v>
      </c>
      <c r="I101">
        <v>1</v>
      </c>
      <c r="J101">
        <v>0.5</v>
      </c>
      <c r="K101">
        <v>0.5</v>
      </c>
      <c r="L101">
        <v>2</v>
      </c>
      <c r="M101" t="b">
        <v>1</v>
      </c>
      <c r="N101" t="b">
        <v>1</v>
      </c>
      <c r="O101" t="b">
        <v>0</v>
      </c>
      <c r="P101" t="b">
        <v>0</v>
      </c>
      <c r="Q101" t="b">
        <v>1</v>
      </c>
      <c r="R101" t="b">
        <v>1</v>
      </c>
      <c r="S101" t="b">
        <v>1</v>
      </c>
      <c r="T101">
        <v>5</v>
      </c>
      <c r="U101" s="1">
        <v>0.52005811851953476</v>
      </c>
      <c r="V101" s="1">
        <v>1.0265355821239119</v>
      </c>
      <c r="W101" s="1">
        <v>1.196634438047529E-3</v>
      </c>
      <c r="X101">
        <v>7</v>
      </c>
      <c r="Y101" s="1">
        <v>0.50937499999999991</v>
      </c>
    </row>
    <row r="102" spans="2:25">
      <c r="B102" t="str">
        <f t="shared" si="2"/>
        <v>G</v>
      </c>
      <c r="C102" t="s">
        <v>46</v>
      </c>
      <c r="D102" t="str">
        <f t="shared" si="3"/>
        <v>G-消费与内需</v>
      </c>
      <c r="E102" t="s">
        <v>419</v>
      </c>
      <c r="F102" t="s">
        <v>282</v>
      </c>
      <c r="G102" t="s">
        <v>420</v>
      </c>
      <c r="H102">
        <v>0</v>
      </c>
      <c r="I102">
        <v>0</v>
      </c>
      <c r="J102">
        <v>0.5</v>
      </c>
      <c r="K102">
        <v>0.5</v>
      </c>
      <c r="L102">
        <v>1</v>
      </c>
      <c r="M102" t="b">
        <v>1</v>
      </c>
      <c r="N102" t="b">
        <v>1</v>
      </c>
      <c r="O102" t="b">
        <v>0</v>
      </c>
      <c r="P102" t="b">
        <v>0</v>
      </c>
      <c r="Q102" t="b">
        <v>0</v>
      </c>
      <c r="R102" t="b">
        <v>1</v>
      </c>
      <c r="S102" t="b">
        <v>1</v>
      </c>
      <c r="T102">
        <v>4</v>
      </c>
      <c r="U102" s="1">
        <v>0.51054932562511568</v>
      </c>
      <c r="V102" s="1">
        <v>1.006912348456769</v>
      </c>
      <c r="W102" s="1">
        <v>5.6161908700911309E-4</v>
      </c>
      <c r="X102">
        <v>5</v>
      </c>
      <c r="Y102" s="1">
        <v>0.51041666666666663</v>
      </c>
    </row>
    <row r="103" spans="2:25">
      <c r="B103" t="str">
        <f t="shared" si="2"/>
        <v>G</v>
      </c>
      <c r="C103" t="s">
        <v>46</v>
      </c>
      <c r="D103" t="str">
        <f t="shared" si="3"/>
        <v>G-消费与内需</v>
      </c>
      <c r="E103" t="s">
        <v>421</v>
      </c>
      <c r="F103" t="s">
        <v>262</v>
      </c>
      <c r="G103" t="s">
        <v>422</v>
      </c>
      <c r="H103">
        <v>1</v>
      </c>
      <c r="I103">
        <v>0</v>
      </c>
      <c r="J103">
        <v>0</v>
      </c>
      <c r="K103">
        <v>0</v>
      </c>
      <c r="L103">
        <v>1</v>
      </c>
      <c r="M103" t="b">
        <v>0</v>
      </c>
      <c r="N103" t="b">
        <v>1</v>
      </c>
      <c r="O103" t="b">
        <v>0</v>
      </c>
      <c r="P103" t="b">
        <v>0</v>
      </c>
      <c r="Q103" t="b">
        <v>1</v>
      </c>
      <c r="R103" t="b">
        <v>0</v>
      </c>
      <c r="S103" t="b">
        <v>1</v>
      </c>
      <c r="T103">
        <v>3</v>
      </c>
      <c r="U103" s="1">
        <v>0.52440429771648012</v>
      </c>
      <c r="V103" s="1">
        <v>0.98858428749638594</v>
      </c>
      <c r="W103" s="1">
        <v>1.0661592368144479E-3</v>
      </c>
      <c r="X103">
        <v>4</v>
      </c>
      <c r="Y103" s="1">
        <v>0.51041666666666663</v>
      </c>
    </row>
    <row r="104" spans="2:25">
      <c r="B104" t="str">
        <f t="shared" si="2"/>
        <v>G</v>
      </c>
      <c r="C104" t="s">
        <v>46</v>
      </c>
      <c r="D104" t="str">
        <f t="shared" si="3"/>
        <v>G-消费与内需</v>
      </c>
      <c r="E104" t="s">
        <v>423</v>
      </c>
      <c r="F104" t="s">
        <v>417</v>
      </c>
      <c r="G104" t="s">
        <v>424</v>
      </c>
      <c r="H104">
        <v>0</v>
      </c>
      <c r="I104">
        <v>0</v>
      </c>
      <c r="J104">
        <v>0.5</v>
      </c>
      <c r="K104">
        <v>0</v>
      </c>
      <c r="L104">
        <v>0.5</v>
      </c>
      <c r="M104" t="b">
        <v>1</v>
      </c>
      <c r="N104" t="b">
        <v>1</v>
      </c>
      <c r="O104" t="b">
        <v>0</v>
      </c>
      <c r="P104" t="b">
        <v>0</v>
      </c>
      <c r="Q104" t="b">
        <v>1</v>
      </c>
      <c r="R104" t="b">
        <v>0</v>
      </c>
      <c r="S104" t="b">
        <v>1</v>
      </c>
      <c r="T104">
        <v>4</v>
      </c>
      <c r="U104" s="1">
        <v>0.52349146799818036</v>
      </c>
      <c r="V104" s="1">
        <v>0.98937930816958741</v>
      </c>
      <c r="W104" s="1">
        <v>9.2135007989474114E-4</v>
      </c>
      <c r="X104">
        <v>4.5</v>
      </c>
      <c r="Y104" s="1">
        <v>0.50624999999999998</v>
      </c>
    </row>
    <row r="105" spans="2:25">
      <c r="B105" t="str">
        <f t="shared" si="2"/>
        <v>G</v>
      </c>
      <c r="C105" t="s">
        <v>46</v>
      </c>
      <c r="D105" t="str">
        <f t="shared" si="3"/>
        <v>G-消费与内需</v>
      </c>
      <c r="E105" t="s">
        <v>425</v>
      </c>
      <c r="F105" t="s">
        <v>426</v>
      </c>
      <c r="G105" t="s">
        <v>427</v>
      </c>
      <c r="H105">
        <v>0</v>
      </c>
      <c r="I105">
        <v>1</v>
      </c>
      <c r="J105">
        <v>0.5</v>
      </c>
      <c r="K105">
        <v>0.5</v>
      </c>
      <c r="L105">
        <v>2</v>
      </c>
      <c r="M105" t="b">
        <v>0</v>
      </c>
      <c r="N105" t="b">
        <v>1</v>
      </c>
      <c r="O105" t="b">
        <v>0</v>
      </c>
      <c r="P105" t="b">
        <v>1</v>
      </c>
      <c r="Q105" t="b">
        <v>1</v>
      </c>
      <c r="R105" t="b">
        <v>1</v>
      </c>
      <c r="S105" t="b">
        <v>1</v>
      </c>
      <c r="T105">
        <v>5</v>
      </c>
      <c r="U105" s="1">
        <v>0.52215934584197699</v>
      </c>
      <c r="V105" s="1">
        <v>1.0270954003731541</v>
      </c>
      <c r="W105" s="1">
        <v>1.2166082276956901E-3</v>
      </c>
      <c r="X105">
        <v>7</v>
      </c>
      <c r="Y105" s="1">
        <v>0.51041666666666663</v>
      </c>
    </row>
    <row r="106" spans="2:25">
      <c r="B106" t="str">
        <f t="shared" si="2"/>
        <v>G</v>
      </c>
      <c r="C106" t="s">
        <v>49</v>
      </c>
      <c r="D106" t="str">
        <f t="shared" si="3"/>
        <v>G-财政与投资</v>
      </c>
      <c r="E106" t="s">
        <v>428</v>
      </c>
      <c r="F106" t="s">
        <v>265</v>
      </c>
      <c r="G106" t="s">
        <v>429</v>
      </c>
      <c r="H106">
        <v>0</v>
      </c>
      <c r="I106">
        <v>0</v>
      </c>
      <c r="J106">
        <v>0.5</v>
      </c>
      <c r="K106">
        <v>0</v>
      </c>
      <c r="L106">
        <v>0.5</v>
      </c>
      <c r="M106" t="b">
        <v>1</v>
      </c>
      <c r="N106" t="b">
        <v>1</v>
      </c>
      <c r="O106" t="b">
        <v>0</v>
      </c>
      <c r="P106" t="b">
        <v>0</v>
      </c>
      <c r="Q106" t="b">
        <v>0</v>
      </c>
      <c r="R106" t="b">
        <v>1</v>
      </c>
      <c r="S106" t="b">
        <v>1</v>
      </c>
      <c r="T106">
        <v>4</v>
      </c>
      <c r="U106" s="1">
        <v>0.51725077229907634</v>
      </c>
      <c r="V106" s="1">
        <v>1.015785899206139</v>
      </c>
      <c r="W106" s="1">
        <v>9.4924330286106045E-4</v>
      </c>
      <c r="X106">
        <v>4.5</v>
      </c>
      <c r="Y106" s="1">
        <v>0.50625000000000009</v>
      </c>
    </row>
    <row r="107" spans="2:25">
      <c r="B107" t="str">
        <f t="shared" si="2"/>
        <v>G</v>
      </c>
      <c r="C107" t="s">
        <v>49</v>
      </c>
      <c r="D107" t="str">
        <f t="shared" si="3"/>
        <v>G-财政与投资</v>
      </c>
      <c r="E107" t="s">
        <v>430</v>
      </c>
      <c r="F107" t="s">
        <v>262</v>
      </c>
      <c r="G107" t="s">
        <v>431</v>
      </c>
      <c r="H107">
        <v>0</v>
      </c>
      <c r="I107">
        <v>0</v>
      </c>
      <c r="J107">
        <v>0</v>
      </c>
      <c r="K107">
        <v>0.5</v>
      </c>
      <c r="L107">
        <v>0.5</v>
      </c>
      <c r="M107" t="b">
        <v>1</v>
      </c>
      <c r="N107" t="b">
        <v>1</v>
      </c>
      <c r="O107" t="b">
        <v>0</v>
      </c>
      <c r="P107" t="b">
        <v>0</v>
      </c>
      <c r="Q107" t="b">
        <v>0</v>
      </c>
      <c r="R107" t="b">
        <v>0</v>
      </c>
      <c r="S107" t="b">
        <v>1</v>
      </c>
      <c r="T107">
        <v>3</v>
      </c>
      <c r="U107" s="1">
        <v>0.5167093111339377</v>
      </c>
      <c r="V107" s="1">
        <v>0.9877716194231716</v>
      </c>
      <c r="W107" s="1">
        <v>6.635241993630008E-4</v>
      </c>
      <c r="X107">
        <v>3.5</v>
      </c>
      <c r="Y107" s="1">
        <v>0.48333333333333328</v>
      </c>
    </row>
    <row r="108" spans="2:25">
      <c r="B108" t="str">
        <f t="shared" si="2"/>
        <v>G</v>
      </c>
      <c r="C108" t="s">
        <v>49</v>
      </c>
      <c r="D108" t="str">
        <f t="shared" si="3"/>
        <v>G-财政与投资</v>
      </c>
      <c r="E108" t="s">
        <v>432</v>
      </c>
      <c r="F108" t="s">
        <v>334</v>
      </c>
      <c r="G108" t="s">
        <v>433</v>
      </c>
      <c r="H108">
        <v>0</v>
      </c>
      <c r="I108">
        <v>1</v>
      </c>
      <c r="J108">
        <v>0.5</v>
      </c>
      <c r="K108">
        <v>0.5</v>
      </c>
      <c r="L108">
        <v>2</v>
      </c>
      <c r="M108" t="b">
        <v>1</v>
      </c>
      <c r="N108" t="b">
        <v>0</v>
      </c>
      <c r="O108" t="b">
        <v>0</v>
      </c>
      <c r="P108" t="b">
        <v>0</v>
      </c>
      <c r="Q108" t="b">
        <v>1</v>
      </c>
      <c r="R108" t="b">
        <v>0</v>
      </c>
      <c r="S108" t="b">
        <v>1</v>
      </c>
      <c r="T108">
        <v>3</v>
      </c>
      <c r="U108" s="1">
        <v>0.52050846011062679</v>
      </c>
      <c r="V108" s="1">
        <v>0.96240479685583336</v>
      </c>
      <c r="W108" s="1">
        <v>5.0818743665357528E-4</v>
      </c>
      <c r="X108">
        <v>5</v>
      </c>
      <c r="Y108" s="1">
        <v>0.51041666666666674</v>
      </c>
    </row>
    <row r="109" spans="2:25">
      <c r="B109" t="str">
        <f t="shared" si="2"/>
        <v>G</v>
      </c>
      <c r="C109" t="s">
        <v>49</v>
      </c>
      <c r="D109" t="str">
        <f t="shared" si="3"/>
        <v>G-财政与投资</v>
      </c>
      <c r="E109" t="s">
        <v>434</v>
      </c>
      <c r="F109" t="s">
        <v>273</v>
      </c>
      <c r="G109" t="s">
        <v>435</v>
      </c>
      <c r="H109">
        <v>0</v>
      </c>
      <c r="I109">
        <v>0</v>
      </c>
      <c r="J109">
        <v>0.5</v>
      </c>
      <c r="K109">
        <v>0.5</v>
      </c>
      <c r="L109">
        <v>1</v>
      </c>
      <c r="M109" t="b">
        <v>1</v>
      </c>
      <c r="N109" t="b">
        <v>1</v>
      </c>
      <c r="O109" t="b">
        <v>0</v>
      </c>
      <c r="P109" t="b">
        <v>0</v>
      </c>
      <c r="Q109" t="b">
        <v>1</v>
      </c>
      <c r="R109" t="b">
        <v>0</v>
      </c>
      <c r="S109" t="b">
        <v>1</v>
      </c>
      <c r="T109">
        <v>4</v>
      </c>
      <c r="U109" s="1">
        <v>0.52205635073280898</v>
      </c>
      <c r="V109" s="1">
        <v>0.98665425835792497</v>
      </c>
      <c r="W109" s="1">
        <v>8.6225334379253817E-4</v>
      </c>
      <c r="X109">
        <v>5</v>
      </c>
      <c r="Y109" s="1">
        <v>0.48645833333333333</v>
      </c>
    </row>
    <row r="110" spans="2:25">
      <c r="B110" t="str">
        <f t="shared" si="2"/>
        <v>G</v>
      </c>
      <c r="C110" t="s">
        <v>49</v>
      </c>
      <c r="D110" t="str">
        <f t="shared" si="3"/>
        <v>G-财政与投资</v>
      </c>
      <c r="E110" t="s">
        <v>436</v>
      </c>
      <c r="F110" t="s">
        <v>437</v>
      </c>
      <c r="G110" t="s">
        <v>438</v>
      </c>
      <c r="H110">
        <v>1</v>
      </c>
      <c r="I110">
        <v>0</v>
      </c>
      <c r="J110">
        <v>0</v>
      </c>
      <c r="K110">
        <v>0</v>
      </c>
      <c r="L110">
        <v>1</v>
      </c>
      <c r="M110" t="b">
        <v>1</v>
      </c>
      <c r="N110" t="b">
        <v>1</v>
      </c>
      <c r="O110" t="b">
        <v>0</v>
      </c>
      <c r="P110" t="b">
        <v>0</v>
      </c>
      <c r="Q110" t="b">
        <v>1</v>
      </c>
      <c r="R110" t="b">
        <v>0</v>
      </c>
      <c r="S110" t="b">
        <v>1</v>
      </c>
      <c r="T110">
        <v>4</v>
      </c>
      <c r="U110" s="1">
        <v>0.52538891827650658</v>
      </c>
      <c r="V110" s="1">
        <v>0.98486971805836521</v>
      </c>
      <c r="W110" s="1">
        <v>9.2667729382454075E-4</v>
      </c>
      <c r="X110">
        <v>5</v>
      </c>
      <c r="Y110" s="1">
        <v>0.49791666666666662</v>
      </c>
    </row>
    <row r="111" spans="2:25">
      <c r="B111" t="str">
        <f t="shared" si="2"/>
        <v>G</v>
      </c>
      <c r="C111" t="s">
        <v>52</v>
      </c>
      <c r="D111" t="str">
        <f t="shared" si="3"/>
        <v>G-贸易与外需</v>
      </c>
      <c r="E111" t="s">
        <v>439</v>
      </c>
      <c r="F111" t="s">
        <v>440</v>
      </c>
      <c r="G111" t="s">
        <v>441</v>
      </c>
      <c r="H111">
        <v>0</v>
      </c>
      <c r="I111">
        <v>1</v>
      </c>
      <c r="J111">
        <v>0.5</v>
      </c>
      <c r="K111">
        <v>0.5</v>
      </c>
      <c r="L111">
        <v>2</v>
      </c>
      <c r="M111" t="b">
        <v>1</v>
      </c>
      <c r="N111" t="b">
        <v>1</v>
      </c>
      <c r="O111" t="b">
        <v>0</v>
      </c>
      <c r="P111" t="b">
        <v>0</v>
      </c>
      <c r="Q111" t="b">
        <v>1</v>
      </c>
      <c r="R111" t="b">
        <v>0</v>
      </c>
      <c r="S111" t="b">
        <v>1</v>
      </c>
      <c r="T111">
        <v>4</v>
      </c>
      <c r="U111" s="1">
        <v>0.53000914906142937</v>
      </c>
      <c r="V111" s="1">
        <v>0.98647602330951645</v>
      </c>
      <c r="W111" s="1">
        <v>1.1552565832398741E-3</v>
      </c>
      <c r="X111">
        <v>6</v>
      </c>
      <c r="Y111" s="1">
        <v>0.5083333333333333</v>
      </c>
    </row>
    <row r="112" spans="2:25">
      <c r="B112" t="str">
        <f t="shared" si="2"/>
        <v>G</v>
      </c>
      <c r="C112" t="s">
        <v>52</v>
      </c>
      <c r="D112" t="str">
        <f t="shared" si="3"/>
        <v>G-贸易与外需</v>
      </c>
      <c r="E112" t="s">
        <v>442</v>
      </c>
      <c r="F112" t="s">
        <v>443</v>
      </c>
      <c r="G112" t="s">
        <v>444</v>
      </c>
      <c r="H112">
        <v>0</v>
      </c>
      <c r="I112">
        <v>1</v>
      </c>
      <c r="J112">
        <v>0</v>
      </c>
      <c r="K112">
        <v>0.5</v>
      </c>
      <c r="L112">
        <v>1.5</v>
      </c>
      <c r="M112" t="b">
        <v>1</v>
      </c>
      <c r="N112" t="b">
        <v>1</v>
      </c>
      <c r="O112" t="b">
        <v>0</v>
      </c>
      <c r="P112" t="b">
        <v>0</v>
      </c>
      <c r="Q112" t="b">
        <v>1</v>
      </c>
      <c r="R112" t="b">
        <v>0</v>
      </c>
      <c r="S112" t="b">
        <v>1</v>
      </c>
      <c r="T112">
        <v>4</v>
      </c>
      <c r="U112" s="1">
        <v>0.52921565978866414</v>
      </c>
      <c r="V112" s="1">
        <v>0.98169460230284888</v>
      </c>
      <c r="W112" s="1">
        <v>1.0718657771005139E-3</v>
      </c>
      <c r="X112">
        <v>5.5</v>
      </c>
      <c r="Y112" s="1">
        <v>0.50104166666666672</v>
      </c>
    </row>
    <row r="113" spans="1:25">
      <c r="B113" t="str">
        <f t="shared" si="2"/>
        <v>G</v>
      </c>
      <c r="C113" t="s">
        <v>52</v>
      </c>
      <c r="D113" t="str">
        <f t="shared" si="3"/>
        <v>G-贸易与外需</v>
      </c>
      <c r="E113" t="s">
        <v>445</v>
      </c>
      <c r="F113" t="s">
        <v>446</v>
      </c>
      <c r="G113" t="s">
        <v>447</v>
      </c>
      <c r="H113">
        <v>0</v>
      </c>
      <c r="I113">
        <v>0</v>
      </c>
      <c r="J113">
        <v>0</v>
      </c>
      <c r="K113">
        <v>0</v>
      </c>
      <c r="L113">
        <v>0</v>
      </c>
      <c r="M113" t="b">
        <v>1</v>
      </c>
      <c r="N113" t="b">
        <v>1</v>
      </c>
      <c r="O113" t="b">
        <v>0</v>
      </c>
      <c r="P113" t="b">
        <v>0</v>
      </c>
      <c r="Q113" t="b">
        <v>1</v>
      </c>
      <c r="R113" t="b">
        <v>0</v>
      </c>
      <c r="S113" t="b">
        <v>1</v>
      </c>
      <c r="T113">
        <v>4</v>
      </c>
      <c r="U113" s="1">
        <v>0.5299945357090986</v>
      </c>
      <c r="V113" s="1">
        <v>0.98512135282329916</v>
      </c>
      <c r="W113" s="1">
        <v>1.1321794851306831E-3</v>
      </c>
      <c r="X113">
        <v>4</v>
      </c>
      <c r="Y113" s="1">
        <v>0.5</v>
      </c>
    </row>
    <row r="114" spans="1:25">
      <c r="B114" t="str">
        <f t="shared" si="2"/>
        <v>G</v>
      </c>
      <c r="C114" t="s">
        <v>52</v>
      </c>
      <c r="D114" t="str">
        <f t="shared" si="3"/>
        <v>G-贸易与外需</v>
      </c>
      <c r="E114" t="s">
        <v>448</v>
      </c>
      <c r="F114" t="s">
        <v>449</v>
      </c>
      <c r="G114" t="s">
        <v>450</v>
      </c>
      <c r="H114">
        <v>0</v>
      </c>
      <c r="I114">
        <v>1</v>
      </c>
      <c r="J114">
        <v>0.5</v>
      </c>
      <c r="K114">
        <v>0.5</v>
      </c>
      <c r="L114">
        <v>2</v>
      </c>
      <c r="M114" t="b">
        <v>1</v>
      </c>
      <c r="N114" t="b">
        <v>1</v>
      </c>
      <c r="O114" t="b">
        <v>0</v>
      </c>
      <c r="P114" t="b">
        <v>0</v>
      </c>
      <c r="Q114" t="b">
        <v>1</v>
      </c>
      <c r="R114" t="b">
        <v>1</v>
      </c>
      <c r="S114" t="b">
        <v>1</v>
      </c>
      <c r="T114">
        <v>5</v>
      </c>
      <c r="U114" s="1">
        <v>0.52236636488496146</v>
      </c>
      <c r="V114" s="1">
        <v>1.004747790219797</v>
      </c>
      <c r="W114" s="1">
        <v>1.0437934136463261E-3</v>
      </c>
      <c r="X114">
        <v>7</v>
      </c>
      <c r="Y114" s="1">
        <v>0.48958333333333343</v>
      </c>
    </row>
    <row r="115" spans="1:25">
      <c r="B115" t="str">
        <f t="shared" si="2"/>
        <v>G</v>
      </c>
      <c r="C115" t="s">
        <v>52</v>
      </c>
      <c r="D115" t="str">
        <f t="shared" si="3"/>
        <v>G-贸易与外需</v>
      </c>
      <c r="E115" t="s">
        <v>451</v>
      </c>
      <c r="F115" t="s">
        <v>282</v>
      </c>
      <c r="G115" t="s">
        <v>452</v>
      </c>
      <c r="H115">
        <v>0</v>
      </c>
      <c r="I115">
        <v>1</v>
      </c>
      <c r="J115">
        <v>0.5</v>
      </c>
      <c r="K115">
        <v>0.5</v>
      </c>
      <c r="L115">
        <v>2</v>
      </c>
      <c r="M115" t="b">
        <v>1</v>
      </c>
      <c r="N115" t="b">
        <v>1</v>
      </c>
      <c r="O115" t="b">
        <v>0</v>
      </c>
      <c r="P115" t="b">
        <v>0</v>
      </c>
      <c r="Q115" t="b">
        <v>0</v>
      </c>
      <c r="R115" t="b">
        <v>0</v>
      </c>
      <c r="S115" t="b">
        <v>1</v>
      </c>
      <c r="T115">
        <v>3</v>
      </c>
      <c r="U115" s="1">
        <v>0.51567039384541924</v>
      </c>
      <c r="V115" s="1">
        <v>0.98848584753780933</v>
      </c>
      <c r="W115" s="1">
        <v>5.7828588650093928E-4</v>
      </c>
      <c r="X115">
        <v>5</v>
      </c>
      <c r="Y115" s="1">
        <v>0.49583333333333329</v>
      </c>
    </row>
    <row r="116" spans="1:25">
      <c r="B116" t="str">
        <f t="shared" si="2"/>
        <v>G</v>
      </c>
      <c r="C116" t="s">
        <v>52</v>
      </c>
      <c r="D116" t="str">
        <f t="shared" si="3"/>
        <v>G-贸易与外需</v>
      </c>
      <c r="E116" t="s">
        <v>453</v>
      </c>
      <c r="F116" t="s">
        <v>282</v>
      </c>
      <c r="G116" t="s">
        <v>454</v>
      </c>
      <c r="H116">
        <v>1</v>
      </c>
      <c r="I116">
        <v>0</v>
      </c>
      <c r="J116">
        <v>0</v>
      </c>
      <c r="K116">
        <v>0</v>
      </c>
      <c r="L116">
        <v>1</v>
      </c>
      <c r="M116" t="b">
        <v>1</v>
      </c>
      <c r="N116" t="b">
        <v>1</v>
      </c>
      <c r="O116" t="b">
        <v>0</v>
      </c>
      <c r="P116" t="b">
        <v>0</v>
      </c>
      <c r="Q116" t="b">
        <v>1</v>
      </c>
      <c r="R116" t="b">
        <v>0</v>
      </c>
      <c r="S116" t="b">
        <v>1</v>
      </c>
      <c r="T116">
        <v>4</v>
      </c>
      <c r="U116" s="1">
        <v>0.52384699622644948</v>
      </c>
      <c r="V116" s="1">
        <v>0.99245597929566798</v>
      </c>
      <c r="W116" s="1">
        <v>9.4515279793878709E-4</v>
      </c>
      <c r="X116">
        <v>5</v>
      </c>
      <c r="Y116" s="1">
        <v>0.49375000000000002</v>
      </c>
    </row>
    <row r="117" spans="1:25">
      <c r="B117" t="str">
        <f t="shared" si="2"/>
        <v>G</v>
      </c>
      <c r="C117" t="s">
        <v>52</v>
      </c>
      <c r="D117" t="str">
        <f t="shared" si="3"/>
        <v>G-贸易与外需</v>
      </c>
      <c r="E117" t="s">
        <v>455</v>
      </c>
      <c r="F117" t="s">
        <v>200</v>
      </c>
      <c r="G117" t="s">
        <v>456</v>
      </c>
      <c r="H117">
        <v>0</v>
      </c>
      <c r="I117">
        <v>1</v>
      </c>
      <c r="J117">
        <v>0.5</v>
      </c>
      <c r="K117">
        <v>0.5</v>
      </c>
      <c r="L117">
        <v>2</v>
      </c>
      <c r="M117" t="b">
        <v>1</v>
      </c>
      <c r="N117" t="b">
        <v>1</v>
      </c>
      <c r="O117" t="b">
        <v>0</v>
      </c>
      <c r="P117" t="b">
        <v>0</v>
      </c>
      <c r="Q117" t="b">
        <v>1</v>
      </c>
      <c r="R117" t="b">
        <v>0</v>
      </c>
      <c r="S117" t="b">
        <v>1</v>
      </c>
      <c r="T117">
        <v>4</v>
      </c>
      <c r="U117" s="1">
        <v>0.528752194335537</v>
      </c>
      <c r="V117" s="1">
        <v>0.99917957660859957</v>
      </c>
      <c r="W117" s="1">
        <v>1.2805629018526499E-3</v>
      </c>
      <c r="X117">
        <v>6</v>
      </c>
      <c r="Y117" s="1">
        <v>0.51041666666666663</v>
      </c>
    </row>
    <row r="118" spans="1:25">
      <c r="A118" s="7"/>
      <c r="B118" s="2" t="str">
        <f t="shared" si="2"/>
        <v>G</v>
      </c>
      <c r="C118" s="2" t="s">
        <v>52</v>
      </c>
      <c r="D118" s="2" t="str">
        <f t="shared" si="3"/>
        <v>G-贸易与外需</v>
      </c>
      <c r="E118" s="2" t="s">
        <v>457</v>
      </c>
      <c r="F118" s="2" t="s">
        <v>458</v>
      </c>
      <c r="G118" s="2" t="s">
        <v>459</v>
      </c>
      <c r="H118" s="2">
        <v>0</v>
      </c>
      <c r="I118" s="2">
        <v>1</v>
      </c>
      <c r="J118" s="2">
        <v>0</v>
      </c>
      <c r="K118" s="2">
        <v>0.5</v>
      </c>
      <c r="L118" s="2">
        <v>1.5</v>
      </c>
      <c r="M118" s="2" t="b">
        <v>1</v>
      </c>
      <c r="N118" s="2" t="b">
        <v>1</v>
      </c>
      <c r="O118" s="2" t="b">
        <v>0</v>
      </c>
      <c r="P118" s="2" t="b">
        <v>0</v>
      </c>
      <c r="Q118" s="2" t="b">
        <v>1</v>
      </c>
      <c r="R118" s="2" t="b">
        <v>1</v>
      </c>
      <c r="S118" s="2" t="b">
        <v>1</v>
      </c>
      <c r="T118" s="2">
        <v>5</v>
      </c>
      <c r="U118" s="3">
        <v>0.5210202991663655</v>
      </c>
      <c r="V118" s="3">
        <v>1.0019116369495349</v>
      </c>
      <c r="W118" s="3">
        <v>9.6706062354891546E-4</v>
      </c>
      <c r="X118" s="2">
        <v>6.5</v>
      </c>
      <c r="Y118" s="3">
        <v>0.4916666666666667</v>
      </c>
    </row>
    <row r="119" spans="1:25">
      <c r="A119" s="6">
        <v>1</v>
      </c>
      <c r="B119" t="str">
        <f t="shared" si="2"/>
        <v>I</v>
      </c>
      <c r="C119" t="s">
        <v>55</v>
      </c>
      <c r="D119" t="str">
        <f t="shared" si="3"/>
        <v>I-本土折现率</v>
      </c>
      <c r="E119" t="s">
        <v>460</v>
      </c>
      <c r="F119" t="s">
        <v>461</v>
      </c>
      <c r="G119" t="s">
        <v>462</v>
      </c>
      <c r="H119">
        <v>1</v>
      </c>
      <c r="I119">
        <v>1</v>
      </c>
      <c r="J119">
        <v>0.5</v>
      </c>
      <c r="K119">
        <v>0.5</v>
      </c>
      <c r="L119">
        <v>3</v>
      </c>
      <c r="M119" t="b">
        <v>1</v>
      </c>
      <c r="N119" t="b">
        <v>1</v>
      </c>
      <c r="O119" t="b">
        <v>1</v>
      </c>
      <c r="P119" t="b">
        <v>0</v>
      </c>
      <c r="Q119" t="b">
        <v>1</v>
      </c>
      <c r="R119" t="b">
        <v>1</v>
      </c>
      <c r="S119" t="b">
        <v>1</v>
      </c>
      <c r="T119">
        <v>6</v>
      </c>
      <c r="U119" s="1">
        <v>0.52640709208135239</v>
      </c>
      <c r="V119" s="1">
        <v>1.033659113470365</v>
      </c>
      <c r="W119" s="1">
        <v>1.68946491757375E-3</v>
      </c>
      <c r="X119">
        <v>9</v>
      </c>
      <c r="Y119" s="1">
        <v>0.55104166666666676</v>
      </c>
    </row>
    <row r="120" spans="1:25">
      <c r="B120" t="str">
        <f t="shared" si="2"/>
        <v>I</v>
      </c>
      <c r="C120" t="s">
        <v>55</v>
      </c>
      <c r="D120" t="str">
        <f t="shared" si="3"/>
        <v>I-本土折现率</v>
      </c>
      <c r="E120" t="s">
        <v>463</v>
      </c>
      <c r="F120" t="s">
        <v>181</v>
      </c>
      <c r="G120" t="s">
        <v>464</v>
      </c>
      <c r="H120">
        <v>0</v>
      </c>
      <c r="I120">
        <v>0</v>
      </c>
      <c r="J120">
        <v>0</v>
      </c>
      <c r="K120">
        <v>0.5</v>
      </c>
      <c r="L120">
        <v>0.5</v>
      </c>
      <c r="M120" t="b">
        <v>1</v>
      </c>
      <c r="N120" t="b">
        <v>1</v>
      </c>
      <c r="O120" t="b">
        <v>0</v>
      </c>
      <c r="P120" t="b">
        <v>0</v>
      </c>
      <c r="Q120" t="b">
        <v>1</v>
      </c>
      <c r="R120" t="b">
        <v>1</v>
      </c>
      <c r="S120" t="b">
        <v>1</v>
      </c>
      <c r="T120">
        <v>5</v>
      </c>
      <c r="U120" s="1">
        <v>0.52286151769587563</v>
      </c>
      <c r="V120" s="1">
        <v>1.0021845523555679</v>
      </c>
      <c r="W120" s="1">
        <v>1.0828634701718709E-3</v>
      </c>
      <c r="X120">
        <v>5.5</v>
      </c>
      <c r="Y120" s="1">
        <v>0.52916666666666667</v>
      </c>
    </row>
    <row r="121" spans="1:25">
      <c r="B121" t="str">
        <f t="shared" si="2"/>
        <v>I</v>
      </c>
      <c r="C121" t="s">
        <v>55</v>
      </c>
      <c r="D121" t="str">
        <f t="shared" si="3"/>
        <v>I-本土折现率</v>
      </c>
      <c r="E121" t="s">
        <v>465</v>
      </c>
      <c r="F121">
        <v>0</v>
      </c>
      <c r="G121" t="s">
        <v>466</v>
      </c>
      <c r="H121">
        <v>0</v>
      </c>
      <c r="I121">
        <v>1</v>
      </c>
      <c r="J121">
        <v>0</v>
      </c>
      <c r="K121">
        <v>0</v>
      </c>
      <c r="L121">
        <v>1</v>
      </c>
      <c r="M121" t="b">
        <v>1</v>
      </c>
      <c r="N121" t="b">
        <v>1</v>
      </c>
      <c r="O121" t="b">
        <v>0</v>
      </c>
      <c r="P121" t="b">
        <v>0</v>
      </c>
      <c r="Q121" t="b">
        <v>0</v>
      </c>
      <c r="R121" t="b">
        <v>0</v>
      </c>
      <c r="S121" t="b">
        <v>1</v>
      </c>
      <c r="T121">
        <v>3</v>
      </c>
      <c r="U121" s="1">
        <v>0.51694020969694443</v>
      </c>
      <c r="V121" s="1">
        <v>0.98405063125491399</v>
      </c>
      <c r="W121" s="1">
        <v>5.8100742017981144E-4</v>
      </c>
      <c r="X121">
        <v>4</v>
      </c>
      <c r="Y121" s="1">
        <v>0.49479166666666669</v>
      </c>
    </row>
    <row r="122" spans="1:25">
      <c r="B122" t="str">
        <f t="shared" si="2"/>
        <v>I</v>
      </c>
      <c r="C122" t="s">
        <v>58</v>
      </c>
      <c r="D122" t="str">
        <f t="shared" si="3"/>
        <v>I-本土流动性</v>
      </c>
      <c r="E122" t="s">
        <v>467</v>
      </c>
      <c r="F122" t="s">
        <v>468</v>
      </c>
      <c r="G122" t="s">
        <v>469</v>
      </c>
      <c r="H122">
        <v>0</v>
      </c>
      <c r="I122">
        <v>1</v>
      </c>
      <c r="J122">
        <v>0.5</v>
      </c>
      <c r="K122">
        <v>0.5</v>
      </c>
      <c r="L122">
        <v>2</v>
      </c>
      <c r="M122" t="b">
        <v>1</v>
      </c>
      <c r="N122" t="b">
        <v>1</v>
      </c>
      <c r="O122" t="b">
        <v>0</v>
      </c>
      <c r="P122" t="b">
        <v>1</v>
      </c>
      <c r="Q122" t="b">
        <v>1</v>
      </c>
      <c r="R122" t="b">
        <v>1</v>
      </c>
      <c r="S122" t="b">
        <v>1</v>
      </c>
      <c r="T122">
        <v>6</v>
      </c>
      <c r="U122" s="1">
        <v>0.52213947345866596</v>
      </c>
      <c r="V122" s="1">
        <v>1.0296205170942689</v>
      </c>
      <c r="W122" s="1">
        <v>1.2616653554020211E-3</v>
      </c>
      <c r="X122">
        <v>8</v>
      </c>
      <c r="Y122" s="1">
        <v>0.50937500000000002</v>
      </c>
    </row>
    <row r="123" spans="1:25">
      <c r="B123" t="str">
        <f t="shared" si="2"/>
        <v>I</v>
      </c>
      <c r="C123" t="s">
        <v>58</v>
      </c>
      <c r="D123" t="str">
        <f t="shared" si="3"/>
        <v>I-本土流动性</v>
      </c>
      <c r="E123" t="s">
        <v>470</v>
      </c>
      <c r="F123" t="s">
        <v>471</v>
      </c>
      <c r="G123" t="s">
        <v>472</v>
      </c>
      <c r="H123">
        <v>0</v>
      </c>
      <c r="I123">
        <v>1</v>
      </c>
      <c r="J123">
        <v>0.5</v>
      </c>
      <c r="K123">
        <v>0</v>
      </c>
      <c r="L123">
        <v>1.5</v>
      </c>
      <c r="M123" t="b">
        <v>1</v>
      </c>
      <c r="N123" t="b">
        <v>1</v>
      </c>
      <c r="O123" t="b">
        <v>0</v>
      </c>
      <c r="P123" t="b">
        <v>0</v>
      </c>
      <c r="Q123" t="b">
        <v>1</v>
      </c>
      <c r="R123" t="b">
        <v>0</v>
      </c>
      <c r="S123" t="b">
        <v>1</v>
      </c>
      <c r="T123">
        <v>4</v>
      </c>
      <c r="U123" s="1">
        <v>0.52568922115590966</v>
      </c>
      <c r="V123" s="1">
        <v>0.99328406822439508</v>
      </c>
      <c r="W123" s="1">
        <v>1.1567333354752631E-3</v>
      </c>
      <c r="X123">
        <v>5.5</v>
      </c>
      <c r="Y123" s="1">
        <v>0.49375000000000002</v>
      </c>
    </row>
    <row r="124" spans="1:25">
      <c r="B124" t="str">
        <f t="shared" si="2"/>
        <v>I</v>
      </c>
      <c r="C124" t="s">
        <v>58</v>
      </c>
      <c r="D124" t="str">
        <f t="shared" si="3"/>
        <v>I-本土流动性</v>
      </c>
      <c r="E124" t="s">
        <v>473</v>
      </c>
      <c r="F124" t="s">
        <v>471</v>
      </c>
      <c r="G124" t="s">
        <v>474</v>
      </c>
      <c r="H124">
        <v>1</v>
      </c>
      <c r="I124">
        <v>1</v>
      </c>
      <c r="J124">
        <v>0.5</v>
      </c>
      <c r="K124">
        <v>0.5</v>
      </c>
      <c r="L124">
        <v>3</v>
      </c>
      <c r="M124" t="b">
        <v>1</v>
      </c>
      <c r="N124" t="b">
        <v>1</v>
      </c>
      <c r="O124" t="b">
        <v>0</v>
      </c>
      <c r="P124" t="b">
        <v>0</v>
      </c>
      <c r="Q124" t="b">
        <v>1</v>
      </c>
      <c r="R124" t="b">
        <v>0</v>
      </c>
      <c r="S124" t="b">
        <v>1</v>
      </c>
      <c r="T124">
        <v>4</v>
      </c>
      <c r="U124" s="1">
        <v>0.52515979135001767</v>
      </c>
      <c r="V124" s="1">
        <v>0.99354254727228231</v>
      </c>
      <c r="W124" s="1">
        <v>1.1364185727038309E-3</v>
      </c>
      <c r="X124">
        <v>7</v>
      </c>
      <c r="Y124" s="1">
        <v>0.50624999999999998</v>
      </c>
    </row>
    <row r="125" spans="1:25">
      <c r="B125" t="str">
        <f t="shared" si="2"/>
        <v>I</v>
      </c>
      <c r="C125" t="s">
        <v>58</v>
      </c>
      <c r="D125" t="str">
        <f t="shared" si="3"/>
        <v>I-本土流动性</v>
      </c>
      <c r="E125" t="s">
        <v>475</v>
      </c>
      <c r="F125" t="s">
        <v>476</v>
      </c>
      <c r="G125" t="s">
        <v>477</v>
      </c>
      <c r="H125">
        <v>1</v>
      </c>
      <c r="I125">
        <v>1</v>
      </c>
      <c r="J125">
        <v>0.5</v>
      </c>
      <c r="K125">
        <v>0.5</v>
      </c>
      <c r="L125">
        <v>3</v>
      </c>
      <c r="M125" t="b">
        <v>1</v>
      </c>
      <c r="N125" t="b">
        <v>1</v>
      </c>
      <c r="O125" t="b">
        <v>0</v>
      </c>
      <c r="P125" t="b">
        <v>0</v>
      </c>
      <c r="Q125" t="b">
        <v>0</v>
      </c>
      <c r="R125" t="b">
        <v>1</v>
      </c>
      <c r="S125" t="b">
        <v>1</v>
      </c>
      <c r="T125">
        <v>4</v>
      </c>
      <c r="U125" s="1">
        <v>0.51920396396109347</v>
      </c>
      <c r="V125" s="1">
        <v>1.0008178693412171</v>
      </c>
      <c r="W125" s="1">
        <v>8.9834320834434396E-4</v>
      </c>
      <c r="X125">
        <v>7</v>
      </c>
      <c r="Y125" s="1">
        <v>0.49062499999999998</v>
      </c>
    </row>
    <row r="126" spans="1:25">
      <c r="B126" t="str">
        <f t="shared" si="2"/>
        <v>I</v>
      </c>
      <c r="C126" t="s">
        <v>62</v>
      </c>
      <c r="D126" t="str">
        <f t="shared" si="3"/>
        <v>I-股债性价比</v>
      </c>
      <c r="E126" t="s">
        <v>478</v>
      </c>
      <c r="F126" t="s">
        <v>479</v>
      </c>
      <c r="G126" t="s">
        <v>480</v>
      </c>
      <c r="H126">
        <v>1</v>
      </c>
      <c r="I126">
        <v>1</v>
      </c>
      <c r="J126">
        <v>0</v>
      </c>
      <c r="K126">
        <v>0</v>
      </c>
      <c r="L126">
        <v>2</v>
      </c>
      <c r="M126" t="b">
        <v>1</v>
      </c>
      <c r="N126" t="b">
        <v>0</v>
      </c>
      <c r="O126" t="b">
        <v>0</v>
      </c>
      <c r="P126" t="b">
        <v>0</v>
      </c>
      <c r="Q126" t="b">
        <v>0</v>
      </c>
      <c r="R126" t="b">
        <v>1</v>
      </c>
      <c r="S126" t="b">
        <v>1</v>
      </c>
      <c r="T126">
        <v>3</v>
      </c>
      <c r="U126" s="1">
        <v>0.50730718387538631</v>
      </c>
      <c r="V126" s="1">
        <v>1.0034927752749809</v>
      </c>
      <c r="W126" s="1">
        <v>3.7555091593557998E-4</v>
      </c>
      <c r="X126">
        <v>5</v>
      </c>
      <c r="Y126" s="1">
        <v>0.46875</v>
      </c>
    </row>
    <row r="127" spans="1:25">
      <c r="A127" s="6">
        <v>1</v>
      </c>
      <c r="B127" t="str">
        <f t="shared" si="2"/>
        <v>I</v>
      </c>
      <c r="C127" t="s">
        <v>62</v>
      </c>
      <c r="D127" t="str">
        <f t="shared" si="3"/>
        <v>I-股债性价比</v>
      </c>
      <c r="E127" t="s">
        <v>481</v>
      </c>
      <c r="F127" t="s">
        <v>482</v>
      </c>
      <c r="G127" t="s">
        <v>483</v>
      </c>
      <c r="H127">
        <v>0</v>
      </c>
      <c r="I127">
        <v>1</v>
      </c>
      <c r="J127">
        <v>0.5</v>
      </c>
      <c r="K127">
        <v>0.5</v>
      </c>
      <c r="L127">
        <v>2</v>
      </c>
      <c r="M127" t="b">
        <v>1</v>
      </c>
      <c r="N127" t="b">
        <v>0</v>
      </c>
      <c r="O127" t="b">
        <v>0</v>
      </c>
      <c r="P127" t="b">
        <v>0</v>
      </c>
      <c r="Q127" t="b">
        <v>0</v>
      </c>
      <c r="R127" t="b">
        <v>1</v>
      </c>
      <c r="S127" t="b">
        <v>1</v>
      </c>
      <c r="T127">
        <v>3</v>
      </c>
      <c r="U127" s="1">
        <v>0.50925992216775373</v>
      </c>
      <c r="V127" s="1">
        <v>1.008857221698815</v>
      </c>
      <c r="W127" s="1">
        <v>5.3401229100585033E-4</v>
      </c>
      <c r="X127">
        <v>5</v>
      </c>
      <c r="Y127" s="1">
        <v>0.4885416666666666</v>
      </c>
    </row>
    <row r="128" spans="1:25">
      <c r="B128" t="str">
        <f t="shared" si="2"/>
        <v>I</v>
      </c>
      <c r="C128" t="s">
        <v>62</v>
      </c>
      <c r="D128" t="str">
        <f t="shared" si="3"/>
        <v>I-股债性价比</v>
      </c>
      <c r="E128" t="s">
        <v>484</v>
      </c>
      <c r="F128" t="s">
        <v>485</v>
      </c>
      <c r="G128" t="s">
        <v>486</v>
      </c>
      <c r="H128">
        <v>0</v>
      </c>
      <c r="I128">
        <v>1</v>
      </c>
      <c r="J128">
        <v>0.5</v>
      </c>
      <c r="K128">
        <v>0.5</v>
      </c>
      <c r="L128">
        <v>2</v>
      </c>
      <c r="M128" t="b">
        <v>1</v>
      </c>
      <c r="N128" t="b">
        <v>1</v>
      </c>
      <c r="O128" t="b">
        <v>0</v>
      </c>
      <c r="P128" t="b">
        <v>0</v>
      </c>
      <c r="Q128" t="b">
        <v>0</v>
      </c>
      <c r="R128" t="b">
        <v>1</v>
      </c>
      <c r="S128" t="b">
        <v>1</v>
      </c>
      <c r="T128">
        <v>4</v>
      </c>
      <c r="U128" s="1">
        <v>0.51075274466178677</v>
      </c>
      <c r="V128" s="1">
        <v>1.020142389319354</v>
      </c>
      <c r="W128" s="1">
        <v>7.5125632315642984E-4</v>
      </c>
      <c r="X128">
        <v>6</v>
      </c>
      <c r="Y128" s="1">
        <v>0.5083333333333333</v>
      </c>
    </row>
    <row r="129" spans="1:25">
      <c r="A129" s="6" t="s">
        <v>195</v>
      </c>
      <c r="B129" t="str">
        <f t="shared" si="2"/>
        <v>I</v>
      </c>
      <c r="C129" t="s">
        <v>62</v>
      </c>
      <c r="D129" t="str">
        <f t="shared" si="3"/>
        <v>I-股债性价比</v>
      </c>
      <c r="E129" t="s">
        <v>487</v>
      </c>
      <c r="F129" t="s">
        <v>488</v>
      </c>
      <c r="G129" t="s">
        <v>489</v>
      </c>
      <c r="H129">
        <v>0</v>
      </c>
      <c r="I129">
        <v>1</v>
      </c>
      <c r="J129">
        <v>0.5</v>
      </c>
      <c r="K129">
        <v>0.5</v>
      </c>
      <c r="L129">
        <v>2</v>
      </c>
      <c r="M129" t="b">
        <v>1</v>
      </c>
      <c r="N129" t="b">
        <v>1</v>
      </c>
      <c r="O129" t="b">
        <v>0</v>
      </c>
      <c r="P129" t="b">
        <v>0</v>
      </c>
      <c r="Q129" t="b">
        <v>1</v>
      </c>
      <c r="R129" t="b">
        <v>1</v>
      </c>
      <c r="S129" t="b">
        <v>1</v>
      </c>
      <c r="T129">
        <v>5</v>
      </c>
      <c r="U129" s="1">
        <v>0.52329624739746128</v>
      </c>
      <c r="V129" s="1">
        <v>1.011492190079051</v>
      </c>
      <c r="W129" s="1">
        <v>1.1954417726379779E-3</v>
      </c>
      <c r="X129">
        <v>7</v>
      </c>
      <c r="Y129" s="1">
        <v>0.515625</v>
      </c>
    </row>
    <row r="130" spans="1:25">
      <c r="B130" t="str">
        <f t="shared" ref="B130:B193" si="4">LEFT(G130)</f>
        <v>I</v>
      </c>
      <c r="C130" t="s">
        <v>62</v>
      </c>
      <c r="D130" t="str">
        <f t="shared" ref="D130:D193" si="5">B130&amp;"-"&amp;C130</f>
        <v>I-股债性价比</v>
      </c>
      <c r="E130" t="s">
        <v>490</v>
      </c>
      <c r="F130" t="s">
        <v>491</v>
      </c>
      <c r="G130" t="s">
        <v>492</v>
      </c>
      <c r="H130">
        <v>0</v>
      </c>
      <c r="I130">
        <v>1</v>
      </c>
      <c r="J130">
        <v>0.5</v>
      </c>
      <c r="K130">
        <v>0.5</v>
      </c>
      <c r="L130">
        <v>2</v>
      </c>
      <c r="M130" t="b">
        <v>1</v>
      </c>
      <c r="N130" t="b">
        <v>1</v>
      </c>
      <c r="O130" t="b">
        <v>0</v>
      </c>
      <c r="P130" t="b">
        <v>0</v>
      </c>
      <c r="Q130" t="b">
        <v>1</v>
      </c>
      <c r="R130" t="b">
        <v>1</v>
      </c>
      <c r="S130" t="b">
        <v>1</v>
      </c>
      <c r="T130">
        <v>5</v>
      </c>
      <c r="U130" s="1">
        <v>0.52045112084334633</v>
      </c>
      <c r="V130" s="1">
        <v>1.011316915004425</v>
      </c>
      <c r="W130" s="1">
        <v>1.036425097066138E-3</v>
      </c>
      <c r="X130">
        <v>7</v>
      </c>
      <c r="Y130" s="1">
        <v>0.49583333333333329</v>
      </c>
    </row>
    <row r="131" spans="1:25">
      <c r="B131" t="str">
        <f t="shared" si="4"/>
        <v>I</v>
      </c>
      <c r="C131" t="s">
        <v>62</v>
      </c>
      <c r="D131" t="str">
        <f t="shared" si="5"/>
        <v>I-股债性价比</v>
      </c>
      <c r="E131" t="s">
        <v>493</v>
      </c>
      <c r="F131" t="s">
        <v>485</v>
      </c>
      <c r="G131" t="s">
        <v>494</v>
      </c>
      <c r="H131">
        <v>0</v>
      </c>
      <c r="I131">
        <v>1</v>
      </c>
      <c r="J131">
        <v>0</v>
      </c>
      <c r="K131">
        <v>0</v>
      </c>
      <c r="L131">
        <v>1</v>
      </c>
      <c r="M131" t="b">
        <v>1</v>
      </c>
      <c r="N131" t="b">
        <v>1</v>
      </c>
      <c r="O131" t="b">
        <v>0</v>
      </c>
      <c r="P131" t="b">
        <v>0</v>
      </c>
      <c r="Q131" t="b">
        <v>0</v>
      </c>
      <c r="R131" t="b">
        <v>1</v>
      </c>
      <c r="S131" t="b">
        <v>1</v>
      </c>
      <c r="T131">
        <v>4</v>
      </c>
      <c r="U131" s="1">
        <v>0.50928033380488513</v>
      </c>
      <c r="V131" s="1">
        <v>1.0252365773266789</v>
      </c>
      <c r="W131" s="1">
        <v>7.2296225275248339E-4</v>
      </c>
      <c r="X131">
        <v>5</v>
      </c>
      <c r="Y131" s="1">
        <v>0.48958333333333343</v>
      </c>
    </row>
    <row r="132" spans="1:25">
      <c r="B132" t="str">
        <f t="shared" si="4"/>
        <v>I</v>
      </c>
      <c r="C132" t="s">
        <v>65</v>
      </c>
      <c r="D132" t="str">
        <f t="shared" si="5"/>
        <v>I-美债收益率</v>
      </c>
      <c r="E132" t="s">
        <v>495</v>
      </c>
      <c r="F132" t="s">
        <v>496</v>
      </c>
      <c r="G132" t="s">
        <v>497</v>
      </c>
      <c r="H132">
        <v>0</v>
      </c>
      <c r="I132">
        <v>1</v>
      </c>
      <c r="J132">
        <v>0.5</v>
      </c>
      <c r="K132">
        <v>0.5</v>
      </c>
      <c r="L132">
        <v>2</v>
      </c>
      <c r="M132" t="b">
        <v>1</v>
      </c>
      <c r="N132" t="b">
        <v>1</v>
      </c>
      <c r="O132" t="b">
        <v>0</v>
      </c>
      <c r="P132" t="b">
        <v>0</v>
      </c>
      <c r="Q132" t="b">
        <v>1</v>
      </c>
      <c r="R132" t="b">
        <v>0</v>
      </c>
      <c r="S132" t="b">
        <v>1</v>
      </c>
      <c r="T132">
        <v>4</v>
      </c>
      <c r="U132" s="1">
        <v>0.52596539047147761</v>
      </c>
      <c r="V132" s="1">
        <v>0.98915142149540891</v>
      </c>
      <c r="W132" s="1">
        <v>9.948985919904208E-4</v>
      </c>
      <c r="X132">
        <v>6</v>
      </c>
      <c r="Y132" s="1">
        <v>0.4916666666666667</v>
      </c>
    </row>
    <row r="133" spans="1:25">
      <c r="B133" t="str">
        <f t="shared" si="4"/>
        <v>I</v>
      </c>
      <c r="C133" t="s">
        <v>65</v>
      </c>
      <c r="D133" t="str">
        <f t="shared" si="5"/>
        <v>I-美债收益率</v>
      </c>
      <c r="E133" t="s">
        <v>498</v>
      </c>
      <c r="F133" t="s">
        <v>499</v>
      </c>
      <c r="G133" t="s">
        <v>500</v>
      </c>
      <c r="H133">
        <v>1</v>
      </c>
      <c r="I133">
        <v>0</v>
      </c>
      <c r="J133">
        <v>0.5</v>
      </c>
      <c r="K133">
        <v>0.5</v>
      </c>
      <c r="L133">
        <v>2</v>
      </c>
      <c r="M133" t="b">
        <v>1</v>
      </c>
      <c r="N133" t="b">
        <v>0</v>
      </c>
      <c r="O133" t="b">
        <v>0</v>
      </c>
      <c r="P133" t="b">
        <v>0</v>
      </c>
      <c r="Q133" t="b">
        <v>0</v>
      </c>
      <c r="R133" t="b">
        <v>0</v>
      </c>
      <c r="S133" t="b">
        <v>1</v>
      </c>
      <c r="T133">
        <v>2</v>
      </c>
      <c r="U133" s="1">
        <v>0.51646244632575988</v>
      </c>
      <c r="V133" s="1">
        <v>0.9690344847717165</v>
      </c>
      <c r="W133" s="1">
        <v>4.147982501204052E-4</v>
      </c>
      <c r="X133">
        <v>4</v>
      </c>
      <c r="Y133" s="1">
        <v>0.48541666666666661</v>
      </c>
    </row>
    <row r="134" spans="1:25">
      <c r="B134" t="str">
        <f t="shared" si="4"/>
        <v>I</v>
      </c>
      <c r="C134" t="s">
        <v>65</v>
      </c>
      <c r="D134" t="str">
        <f t="shared" si="5"/>
        <v>I-美债收益率</v>
      </c>
      <c r="E134" t="s">
        <v>501</v>
      </c>
      <c r="F134" t="s">
        <v>461</v>
      </c>
      <c r="G134" t="s">
        <v>502</v>
      </c>
      <c r="H134">
        <v>1</v>
      </c>
      <c r="I134">
        <v>1</v>
      </c>
      <c r="J134">
        <v>0.5</v>
      </c>
      <c r="K134">
        <v>0.5</v>
      </c>
      <c r="L134">
        <v>3</v>
      </c>
      <c r="M134" t="b">
        <v>1</v>
      </c>
      <c r="N134" t="b">
        <v>1</v>
      </c>
      <c r="O134" t="b">
        <v>1</v>
      </c>
      <c r="P134" t="b">
        <v>0</v>
      </c>
      <c r="Q134" t="b">
        <v>1</v>
      </c>
      <c r="R134" t="b">
        <v>1</v>
      </c>
      <c r="S134" t="b">
        <v>1</v>
      </c>
      <c r="T134">
        <v>6</v>
      </c>
      <c r="U134" s="1">
        <v>0.54133351737474256</v>
      </c>
      <c r="V134" s="1">
        <v>1.009200594833866</v>
      </c>
      <c r="W134" s="1">
        <v>2.000481442055657E-3</v>
      </c>
      <c r="X134">
        <v>9</v>
      </c>
      <c r="Y134" s="1">
        <v>0.53125</v>
      </c>
    </row>
    <row r="135" spans="1:25">
      <c r="B135" t="str">
        <f t="shared" si="4"/>
        <v>I</v>
      </c>
      <c r="C135" t="s">
        <v>65</v>
      </c>
      <c r="D135" t="str">
        <f t="shared" si="5"/>
        <v>I-美债收益率</v>
      </c>
      <c r="E135" t="s">
        <v>503</v>
      </c>
      <c r="F135" t="s">
        <v>504</v>
      </c>
      <c r="G135" t="s">
        <v>505</v>
      </c>
      <c r="H135">
        <v>0</v>
      </c>
      <c r="I135">
        <v>1</v>
      </c>
      <c r="J135">
        <v>0.5</v>
      </c>
      <c r="K135">
        <v>0</v>
      </c>
      <c r="L135">
        <v>1.5</v>
      </c>
      <c r="M135" t="b">
        <v>1</v>
      </c>
      <c r="N135" t="b">
        <v>1</v>
      </c>
      <c r="O135" t="b">
        <v>0</v>
      </c>
      <c r="P135" t="b">
        <v>0</v>
      </c>
      <c r="Q135" t="b">
        <v>1</v>
      </c>
      <c r="R135" t="b">
        <v>0</v>
      </c>
      <c r="S135" t="b">
        <v>1</v>
      </c>
      <c r="T135">
        <v>4</v>
      </c>
      <c r="U135" s="1">
        <v>0.52160447510122609</v>
      </c>
      <c r="V135" s="1">
        <v>0.99147923358443824</v>
      </c>
      <c r="W135" s="1">
        <v>9.3879562973055966E-4</v>
      </c>
      <c r="X135">
        <v>5.5</v>
      </c>
      <c r="Y135" s="1">
        <v>0.51458333333333339</v>
      </c>
    </row>
    <row r="136" spans="1:25">
      <c r="B136" t="str">
        <f t="shared" si="4"/>
        <v>I</v>
      </c>
      <c r="C136" t="s">
        <v>65</v>
      </c>
      <c r="D136" t="str">
        <f t="shared" si="5"/>
        <v>I-美债收益率</v>
      </c>
      <c r="E136" t="s">
        <v>506</v>
      </c>
      <c r="F136" t="s">
        <v>507</v>
      </c>
      <c r="G136" t="s">
        <v>508</v>
      </c>
      <c r="H136">
        <v>0</v>
      </c>
      <c r="I136">
        <v>0</v>
      </c>
      <c r="J136">
        <v>0</v>
      </c>
      <c r="K136">
        <v>0</v>
      </c>
      <c r="L136">
        <v>0</v>
      </c>
      <c r="M136" t="b">
        <v>1</v>
      </c>
      <c r="N136" t="b">
        <v>1</v>
      </c>
      <c r="O136" t="b">
        <v>0</v>
      </c>
      <c r="P136" t="b">
        <v>0</v>
      </c>
      <c r="Q136" t="b">
        <v>1</v>
      </c>
      <c r="R136" t="b">
        <v>0</v>
      </c>
      <c r="S136" t="b">
        <v>1</v>
      </c>
      <c r="T136">
        <v>4</v>
      </c>
      <c r="U136" s="1">
        <v>0.52106193409506174</v>
      </c>
      <c r="V136" s="1">
        <v>0.96908895451698884</v>
      </c>
      <c r="W136" s="1">
        <v>5.9622270945712747E-4</v>
      </c>
      <c r="X136">
        <v>4</v>
      </c>
      <c r="Y136" s="1">
        <v>0.4927083333333333</v>
      </c>
    </row>
    <row r="137" spans="1:25">
      <c r="B137" t="str">
        <f t="shared" si="4"/>
        <v>I</v>
      </c>
      <c r="C137" t="s">
        <v>65</v>
      </c>
      <c r="D137" t="str">
        <f t="shared" si="5"/>
        <v>I-美债收益率</v>
      </c>
      <c r="E137" t="s">
        <v>509</v>
      </c>
      <c r="F137" t="s">
        <v>510</v>
      </c>
      <c r="G137" t="s">
        <v>511</v>
      </c>
      <c r="H137">
        <v>0</v>
      </c>
      <c r="I137">
        <v>1</v>
      </c>
      <c r="J137">
        <v>0</v>
      </c>
      <c r="K137">
        <v>0</v>
      </c>
      <c r="L137">
        <v>1</v>
      </c>
      <c r="M137" t="b">
        <v>1</v>
      </c>
      <c r="N137" t="b">
        <v>1</v>
      </c>
      <c r="O137" t="b">
        <v>0</v>
      </c>
      <c r="P137" t="b">
        <v>0</v>
      </c>
      <c r="Q137" t="b">
        <v>1</v>
      </c>
      <c r="R137" t="b">
        <v>0</v>
      </c>
      <c r="S137" t="b">
        <v>1</v>
      </c>
      <c r="T137">
        <v>4</v>
      </c>
      <c r="U137" s="1">
        <v>0.52032663221276365</v>
      </c>
      <c r="V137" s="1">
        <v>0.98014832890536641</v>
      </c>
      <c r="W137" s="1">
        <v>7.3206751753481479E-4</v>
      </c>
      <c r="X137">
        <v>5</v>
      </c>
      <c r="Y137" s="1">
        <v>0.47916666666666669</v>
      </c>
    </row>
    <row r="138" spans="1:25">
      <c r="B138" t="str">
        <f t="shared" si="4"/>
        <v>I</v>
      </c>
      <c r="C138" t="s">
        <v>65</v>
      </c>
      <c r="D138" t="str">
        <f t="shared" si="5"/>
        <v>I-美债收益率</v>
      </c>
      <c r="E138" t="s">
        <v>512</v>
      </c>
      <c r="F138" t="s">
        <v>513</v>
      </c>
      <c r="G138" t="s">
        <v>514</v>
      </c>
      <c r="H138">
        <v>1</v>
      </c>
      <c r="I138">
        <v>1</v>
      </c>
      <c r="J138">
        <v>0</v>
      </c>
      <c r="K138">
        <v>0</v>
      </c>
      <c r="L138">
        <v>2</v>
      </c>
      <c r="M138" t="b">
        <v>1</v>
      </c>
      <c r="N138" t="b">
        <v>1</v>
      </c>
      <c r="O138" t="b">
        <v>0</v>
      </c>
      <c r="P138" t="b">
        <v>0</v>
      </c>
      <c r="Q138" t="b">
        <v>0</v>
      </c>
      <c r="R138" t="b">
        <v>0</v>
      </c>
      <c r="S138" t="b">
        <v>1</v>
      </c>
      <c r="T138">
        <v>3</v>
      </c>
      <c r="U138" s="1">
        <v>0.5182188056282635</v>
      </c>
      <c r="V138" s="1">
        <v>0.97896638854547147</v>
      </c>
      <c r="W138" s="1">
        <v>5.3938951416923273E-4</v>
      </c>
      <c r="X138">
        <v>5</v>
      </c>
      <c r="Y138" s="1">
        <v>0.49270833333333341</v>
      </c>
    </row>
    <row r="139" spans="1:25">
      <c r="A139" s="7">
        <v>1</v>
      </c>
      <c r="B139" s="2" t="str">
        <f t="shared" si="4"/>
        <v>I</v>
      </c>
      <c r="C139" s="2" t="s">
        <v>65</v>
      </c>
      <c r="D139" s="2" t="str">
        <f t="shared" si="5"/>
        <v>I-美债收益率</v>
      </c>
      <c r="E139" s="2" t="s">
        <v>515</v>
      </c>
      <c r="F139" s="2" t="s">
        <v>181</v>
      </c>
      <c r="G139" s="2" t="s">
        <v>516</v>
      </c>
      <c r="H139" s="2">
        <v>0</v>
      </c>
      <c r="I139" s="2">
        <v>0</v>
      </c>
      <c r="J139" s="2">
        <v>0.5</v>
      </c>
      <c r="K139" s="2">
        <v>0.5</v>
      </c>
      <c r="L139" s="2">
        <v>1</v>
      </c>
      <c r="M139" s="2" t="b">
        <v>1</v>
      </c>
      <c r="N139" s="2" t="b">
        <v>1</v>
      </c>
      <c r="O139" s="2" t="b">
        <v>0</v>
      </c>
      <c r="P139" s="2" t="b">
        <v>0</v>
      </c>
      <c r="Q139" s="2" t="b">
        <v>0</v>
      </c>
      <c r="R139" s="2" t="b">
        <v>1</v>
      </c>
      <c r="S139" s="2" t="b">
        <v>1</v>
      </c>
      <c r="T139" s="2">
        <v>4</v>
      </c>
      <c r="U139" s="3">
        <v>0.51700102322887331</v>
      </c>
      <c r="V139" s="3">
        <v>1.0229972861029759</v>
      </c>
      <c r="W139" s="3">
        <v>1.053298029116546E-3</v>
      </c>
      <c r="X139" s="2">
        <v>5</v>
      </c>
      <c r="Y139" s="3">
        <v>0.48854166666666671</v>
      </c>
    </row>
    <row r="140" spans="1:25">
      <c r="B140" t="str">
        <f t="shared" si="4"/>
        <v>L</v>
      </c>
      <c r="C140" t="s">
        <v>68</v>
      </c>
      <c r="D140" t="str">
        <f t="shared" si="5"/>
        <v>L-货币总量</v>
      </c>
      <c r="E140" t="s">
        <v>517</v>
      </c>
      <c r="F140" t="s">
        <v>175</v>
      </c>
      <c r="G140" t="s">
        <v>518</v>
      </c>
      <c r="H140">
        <v>0</v>
      </c>
      <c r="I140">
        <v>0</v>
      </c>
      <c r="J140">
        <v>0</v>
      </c>
      <c r="K140">
        <v>0</v>
      </c>
      <c r="L140">
        <v>0</v>
      </c>
      <c r="M140" t="b">
        <v>1</v>
      </c>
      <c r="N140" t="b">
        <v>1</v>
      </c>
      <c r="O140" t="b">
        <v>0</v>
      </c>
      <c r="P140" t="b">
        <v>0</v>
      </c>
      <c r="Q140" t="b">
        <v>1</v>
      </c>
      <c r="R140" t="b">
        <v>1</v>
      </c>
      <c r="S140" t="b">
        <v>1</v>
      </c>
      <c r="T140">
        <v>5</v>
      </c>
      <c r="U140" s="1">
        <v>0.52388267196232974</v>
      </c>
      <c r="V140" s="1">
        <v>1.0178446676303761</v>
      </c>
      <c r="W140" s="1">
        <v>1.3039976941589539E-3</v>
      </c>
      <c r="X140">
        <v>5</v>
      </c>
      <c r="Y140" s="1">
        <v>0.52291666666666659</v>
      </c>
    </row>
    <row r="141" spans="1:25">
      <c r="B141" t="str">
        <f t="shared" si="4"/>
        <v>L</v>
      </c>
      <c r="C141" t="s">
        <v>68</v>
      </c>
      <c r="D141" t="str">
        <f t="shared" si="5"/>
        <v>L-货币总量</v>
      </c>
      <c r="E141" t="s">
        <v>519</v>
      </c>
      <c r="F141" t="s">
        <v>262</v>
      </c>
      <c r="G141" t="s">
        <v>520</v>
      </c>
      <c r="H141">
        <v>0</v>
      </c>
      <c r="I141">
        <v>0</v>
      </c>
      <c r="J141">
        <v>0</v>
      </c>
      <c r="K141">
        <v>0</v>
      </c>
      <c r="L141">
        <v>0</v>
      </c>
      <c r="M141" t="b">
        <v>0</v>
      </c>
      <c r="N141" t="b">
        <v>1</v>
      </c>
      <c r="O141" t="b">
        <v>0</v>
      </c>
      <c r="P141" t="b">
        <v>0</v>
      </c>
      <c r="Q141" t="b">
        <v>1</v>
      </c>
      <c r="R141" t="b">
        <v>0</v>
      </c>
      <c r="S141" t="b">
        <v>1</v>
      </c>
      <c r="T141">
        <v>3</v>
      </c>
      <c r="U141" s="1">
        <v>0.52311607488004752</v>
      </c>
      <c r="V141" s="1">
        <v>0.99220500099748254</v>
      </c>
      <c r="W141" s="1">
        <v>1.04273229376505E-3</v>
      </c>
      <c r="X141">
        <v>3</v>
      </c>
      <c r="Y141" s="1">
        <v>0.51041666666666663</v>
      </c>
    </row>
    <row r="142" spans="1:25">
      <c r="B142" t="str">
        <f t="shared" si="4"/>
        <v>L</v>
      </c>
      <c r="C142" t="s">
        <v>68</v>
      </c>
      <c r="D142" t="str">
        <f t="shared" si="5"/>
        <v>L-货币总量</v>
      </c>
      <c r="E142" t="s">
        <v>521</v>
      </c>
      <c r="F142" t="s">
        <v>262</v>
      </c>
      <c r="G142" t="s">
        <v>522</v>
      </c>
      <c r="H142">
        <v>0</v>
      </c>
      <c r="I142">
        <v>0</v>
      </c>
      <c r="J142">
        <v>0.5</v>
      </c>
      <c r="K142">
        <v>0.5</v>
      </c>
      <c r="L142">
        <v>1</v>
      </c>
      <c r="M142" t="b">
        <v>0</v>
      </c>
      <c r="N142" t="b">
        <v>1</v>
      </c>
      <c r="O142" t="b">
        <v>0</v>
      </c>
      <c r="P142" t="b">
        <v>0</v>
      </c>
      <c r="Q142" t="b">
        <v>1</v>
      </c>
      <c r="R142" t="b">
        <v>0</v>
      </c>
      <c r="S142" t="b">
        <v>1</v>
      </c>
      <c r="T142">
        <v>3</v>
      </c>
      <c r="U142" s="1">
        <v>0.52440429771648012</v>
      </c>
      <c r="V142" s="1">
        <v>0.98845119443641727</v>
      </c>
      <c r="W142" s="1">
        <v>1.064362037465958E-3</v>
      </c>
      <c r="X142">
        <v>4</v>
      </c>
      <c r="Y142" s="1">
        <v>0.51041666666666663</v>
      </c>
    </row>
    <row r="143" spans="1:25">
      <c r="B143" t="str">
        <f t="shared" si="4"/>
        <v>L</v>
      </c>
      <c r="C143" t="s">
        <v>68</v>
      </c>
      <c r="D143" t="str">
        <f t="shared" si="5"/>
        <v>L-货币总量</v>
      </c>
      <c r="E143" t="s">
        <v>523</v>
      </c>
      <c r="F143" t="s">
        <v>259</v>
      </c>
      <c r="G143" t="s">
        <v>524</v>
      </c>
      <c r="H143">
        <v>0</v>
      </c>
      <c r="I143">
        <v>0</v>
      </c>
      <c r="J143">
        <v>0.5</v>
      </c>
      <c r="K143">
        <v>0</v>
      </c>
      <c r="L143">
        <v>0.5</v>
      </c>
      <c r="M143" t="b">
        <v>1</v>
      </c>
      <c r="N143" t="b">
        <v>1</v>
      </c>
      <c r="O143" t="b">
        <v>0</v>
      </c>
      <c r="P143" t="b">
        <v>0</v>
      </c>
      <c r="Q143" t="b">
        <v>1</v>
      </c>
      <c r="R143" t="b">
        <v>0</v>
      </c>
      <c r="S143" t="b">
        <v>1</v>
      </c>
      <c r="T143">
        <v>4</v>
      </c>
      <c r="U143" s="1">
        <v>0.52614209334008177</v>
      </c>
      <c r="V143" s="1">
        <v>0.99345967569183524</v>
      </c>
      <c r="W143" s="1">
        <v>1.161341879976893E-3</v>
      </c>
      <c r="X143">
        <v>4.5</v>
      </c>
      <c r="Y143" s="1">
        <v>0.5</v>
      </c>
    </row>
    <row r="144" spans="1:25">
      <c r="B144" t="str">
        <f t="shared" si="4"/>
        <v>L</v>
      </c>
      <c r="C144" t="s">
        <v>68</v>
      </c>
      <c r="D144" t="str">
        <f t="shared" si="5"/>
        <v>L-货币总量</v>
      </c>
      <c r="E144" t="s">
        <v>525</v>
      </c>
      <c r="F144" t="s">
        <v>526</v>
      </c>
      <c r="G144" t="s">
        <v>527</v>
      </c>
      <c r="H144">
        <v>0</v>
      </c>
      <c r="I144">
        <v>1</v>
      </c>
      <c r="J144">
        <v>0.5</v>
      </c>
      <c r="K144">
        <v>0.5</v>
      </c>
      <c r="L144">
        <v>2</v>
      </c>
      <c r="M144" t="b">
        <v>1</v>
      </c>
      <c r="N144" t="b">
        <v>1</v>
      </c>
      <c r="O144" t="b">
        <v>0</v>
      </c>
      <c r="P144" t="b">
        <v>0</v>
      </c>
      <c r="Q144" t="b">
        <v>1</v>
      </c>
      <c r="R144" t="b">
        <v>0</v>
      </c>
      <c r="S144" t="b">
        <v>1</v>
      </c>
      <c r="T144">
        <v>4</v>
      </c>
      <c r="U144" s="1">
        <v>0.5297429893939507</v>
      </c>
      <c r="V144" s="1">
        <v>0.97944160975772232</v>
      </c>
      <c r="W144" s="1">
        <v>1.079057281849006E-3</v>
      </c>
      <c r="X144">
        <v>6</v>
      </c>
      <c r="Y144" s="1">
        <v>0.49166666666666659</v>
      </c>
    </row>
    <row r="145" spans="1:25">
      <c r="B145" t="str">
        <f t="shared" si="4"/>
        <v>L</v>
      </c>
      <c r="C145" t="s">
        <v>68</v>
      </c>
      <c r="D145" t="str">
        <f t="shared" si="5"/>
        <v>L-货币总量</v>
      </c>
      <c r="E145" t="s">
        <v>528</v>
      </c>
      <c r="F145" t="s">
        <v>529</v>
      </c>
      <c r="G145" t="s">
        <v>530</v>
      </c>
      <c r="H145">
        <v>0</v>
      </c>
      <c r="I145">
        <v>1</v>
      </c>
      <c r="J145">
        <v>0.5</v>
      </c>
      <c r="K145">
        <v>0.5</v>
      </c>
      <c r="L145">
        <v>2</v>
      </c>
      <c r="M145" t="b">
        <v>1</v>
      </c>
      <c r="N145" t="b">
        <v>1</v>
      </c>
      <c r="O145" t="b">
        <v>0</v>
      </c>
      <c r="P145" t="b">
        <v>0</v>
      </c>
      <c r="Q145" t="b">
        <v>1</v>
      </c>
      <c r="R145" t="b">
        <v>0</v>
      </c>
      <c r="S145" t="b">
        <v>1</v>
      </c>
      <c r="T145">
        <v>4</v>
      </c>
      <c r="U145" s="1">
        <v>0.52694654138269448</v>
      </c>
      <c r="V145" s="1">
        <v>0.97834928806110588</v>
      </c>
      <c r="W145" s="1">
        <v>9.3192421996069895E-4</v>
      </c>
      <c r="X145">
        <v>6</v>
      </c>
      <c r="Y145" s="1">
        <v>0.49479166666666669</v>
      </c>
    </row>
    <row r="146" spans="1:25">
      <c r="B146" t="str">
        <f t="shared" si="4"/>
        <v>L</v>
      </c>
      <c r="C146" t="s">
        <v>68</v>
      </c>
      <c r="D146" t="str">
        <f t="shared" si="5"/>
        <v>L-货币总量</v>
      </c>
      <c r="E146" t="s">
        <v>531</v>
      </c>
      <c r="F146" t="s">
        <v>532</v>
      </c>
      <c r="G146" t="s">
        <v>533</v>
      </c>
      <c r="H146">
        <v>0</v>
      </c>
      <c r="I146">
        <v>1</v>
      </c>
      <c r="J146">
        <v>0.5</v>
      </c>
      <c r="K146">
        <v>0.5</v>
      </c>
      <c r="L146">
        <v>2</v>
      </c>
      <c r="M146" t="b">
        <v>1</v>
      </c>
      <c r="N146" t="b">
        <v>1</v>
      </c>
      <c r="O146" t="b">
        <v>0</v>
      </c>
      <c r="P146" t="b">
        <v>0</v>
      </c>
      <c r="Q146" t="b">
        <v>0</v>
      </c>
      <c r="R146" t="b">
        <v>1</v>
      </c>
      <c r="S146" t="b">
        <v>1</v>
      </c>
      <c r="T146">
        <v>4</v>
      </c>
      <c r="U146" s="1">
        <v>0.51877202607245532</v>
      </c>
      <c r="V146" s="1">
        <v>1.023100726460465</v>
      </c>
      <c r="W146" s="1">
        <v>1.128765158089612E-3</v>
      </c>
      <c r="X146">
        <v>6</v>
      </c>
      <c r="Y146" s="1">
        <v>0.50729166666666659</v>
      </c>
    </row>
    <row r="147" spans="1:25">
      <c r="A147" s="6" t="s">
        <v>195</v>
      </c>
      <c r="B147" t="str">
        <f t="shared" si="4"/>
        <v>L</v>
      </c>
      <c r="C147" t="s">
        <v>68</v>
      </c>
      <c r="D147" t="str">
        <f t="shared" si="5"/>
        <v>L-货币总量</v>
      </c>
      <c r="E147" t="s">
        <v>534</v>
      </c>
      <c r="F147" t="s">
        <v>262</v>
      </c>
      <c r="G147" t="s">
        <v>535</v>
      </c>
      <c r="H147">
        <v>0</v>
      </c>
      <c r="I147">
        <v>0</v>
      </c>
      <c r="J147">
        <v>0</v>
      </c>
      <c r="K147">
        <v>0.5</v>
      </c>
      <c r="L147">
        <v>0.5</v>
      </c>
      <c r="M147" t="b">
        <v>1</v>
      </c>
      <c r="N147" t="b">
        <v>1</v>
      </c>
      <c r="O147" t="b">
        <v>0</v>
      </c>
      <c r="P147" t="b">
        <v>0</v>
      </c>
      <c r="Q147" t="b">
        <v>1</v>
      </c>
      <c r="R147" t="b">
        <v>0</v>
      </c>
      <c r="S147" t="b">
        <v>1</v>
      </c>
      <c r="T147">
        <v>4</v>
      </c>
      <c r="U147" s="1">
        <v>0.52287605302680995</v>
      </c>
      <c r="V147" s="1">
        <v>0.99681712317401117</v>
      </c>
      <c r="W147" s="1">
        <v>1.067638130736437E-3</v>
      </c>
      <c r="X147">
        <v>4.5</v>
      </c>
      <c r="Y147" s="1">
        <v>0.49479166666666669</v>
      </c>
    </row>
    <row r="148" spans="1:25">
      <c r="A148" s="6" t="s">
        <v>536</v>
      </c>
      <c r="B148" t="str">
        <f t="shared" si="4"/>
        <v>L</v>
      </c>
      <c r="C148" t="s">
        <v>68</v>
      </c>
      <c r="D148" t="str">
        <f t="shared" si="5"/>
        <v>L-货币总量</v>
      </c>
      <c r="E148" t="s">
        <v>537</v>
      </c>
      <c r="F148" t="s">
        <v>538</v>
      </c>
      <c r="G148" t="s">
        <v>539</v>
      </c>
      <c r="H148">
        <v>0</v>
      </c>
      <c r="I148">
        <v>0</v>
      </c>
      <c r="J148">
        <v>0</v>
      </c>
      <c r="K148">
        <v>0.5</v>
      </c>
      <c r="L148">
        <v>0.5</v>
      </c>
      <c r="M148" t="b">
        <v>1</v>
      </c>
      <c r="N148" t="b">
        <v>1</v>
      </c>
      <c r="O148" t="b">
        <v>0</v>
      </c>
      <c r="P148" t="b">
        <v>0</v>
      </c>
      <c r="Q148" t="b">
        <v>1</v>
      </c>
      <c r="R148" t="b">
        <v>0</v>
      </c>
      <c r="S148" t="b">
        <v>1</v>
      </c>
      <c r="T148">
        <v>4</v>
      </c>
      <c r="U148" s="1">
        <v>0.52235511300681403</v>
      </c>
      <c r="V148" s="1">
        <v>0.99368696755539165</v>
      </c>
      <c r="W148" s="1">
        <v>1.002242431500013E-3</v>
      </c>
      <c r="X148">
        <v>4.5</v>
      </c>
      <c r="Y148" s="1">
        <v>0.4958333333333334</v>
      </c>
    </row>
    <row r="149" spans="1:25">
      <c r="B149" t="str">
        <f t="shared" si="4"/>
        <v>L</v>
      </c>
      <c r="C149" t="s">
        <v>68</v>
      </c>
      <c r="D149" t="str">
        <f t="shared" si="5"/>
        <v>L-货币总量</v>
      </c>
      <c r="E149" t="s">
        <v>540</v>
      </c>
      <c r="F149" t="s">
        <v>262</v>
      </c>
      <c r="G149" t="s">
        <v>541</v>
      </c>
      <c r="H149">
        <v>0</v>
      </c>
      <c r="I149">
        <v>0</v>
      </c>
      <c r="J149">
        <v>0.5</v>
      </c>
      <c r="K149">
        <v>0</v>
      </c>
      <c r="L149">
        <v>0.5</v>
      </c>
      <c r="M149" t="b">
        <v>1</v>
      </c>
      <c r="N149" t="b">
        <v>1</v>
      </c>
      <c r="O149" t="b">
        <v>0</v>
      </c>
      <c r="P149" t="b">
        <v>0</v>
      </c>
      <c r="Q149" t="b">
        <v>1</v>
      </c>
      <c r="R149" t="b">
        <v>1</v>
      </c>
      <c r="S149" t="b">
        <v>1</v>
      </c>
      <c r="T149">
        <v>5</v>
      </c>
      <c r="U149" s="1">
        <v>0.52314602883598871</v>
      </c>
      <c r="V149" s="1">
        <v>1.0093531679400709</v>
      </c>
      <c r="W149" s="1">
        <v>1.243943065068446E-3</v>
      </c>
      <c r="X149">
        <v>5.5</v>
      </c>
      <c r="Y149" s="1">
        <v>0.50833333333333341</v>
      </c>
    </row>
    <row r="150" spans="1:25">
      <c r="B150" t="str">
        <f t="shared" si="4"/>
        <v>L</v>
      </c>
      <c r="C150" t="s">
        <v>71</v>
      </c>
      <c r="D150" t="str">
        <f t="shared" si="5"/>
        <v>L-货币活化</v>
      </c>
      <c r="E150" t="s">
        <v>542</v>
      </c>
      <c r="F150" t="s">
        <v>543</v>
      </c>
      <c r="G150" t="s">
        <v>544</v>
      </c>
      <c r="H150">
        <v>0</v>
      </c>
      <c r="I150">
        <v>0</v>
      </c>
      <c r="J150">
        <v>0.5</v>
      </c>
      <c r="K150">
        <v>0.5</v>
      </c>
      <c r="L150">
        <v>1</v>
      </c>
      <c r="M150" t="b">
        <v>1</v>
      </c>
      <c r="N150" t="b">
        <v>1</v>
      </c>
      <c r="O150" t="b">
        <v>0</v>
      </c>
      <c r="P150" t="b">
        <v>0</v>
      </c>
      <c r="Q150" t="b">
        <v>1</v>
      </c>
      <c r="R150" t="b">
        <v>0</v>
      </c>
      <c r="S150" t="b">
        <v>1</v>
      </c>
      <c r="T150">
        <v>4</v>
      </c>
      <c r="U150" s="1">
        <v>0.53053015444105911</v>
      </c>
      <c r="V150" s="1">
        <v>0.97659224575808778</v>
      </c>
      <c r="W150" s="1">
        <v>1.0761603587328111E-3</v>
      </c>
      <c r="X150">
        <v>5</v>
      </c>
      <c r="Y150" s="1">
        <v>0.4802083333333334</v>
      </c>
    </row>
    <row r="151" spans="1:25">
      <c r="B151" t="str">
        <f t="shared" si="4"/>
        <v>L</v>
      </c>
      <c r="C151" t="s">
        <v>71</v>
      </c>
      <c r="D151" t="str">
        <f t="shared" si="5"/>
        <v>L-货币活化</v>
      </c>
      <c r="E151" t="s">
        <v>545</v>
      </c>
      <c r="F151" t="s">
        <v>546</v>
      </c>
      <c r="G151" t="s">
        <v>547</v>
      </c>
      <c r="H151">
        <v>0</v>
      </c>
      <c r="I151">
        <v>1</v>
      </c>
      <c r="J151">
        <v>0.5</v>
      </c>
      <c r="K151">
        <v>0</v>
      </c>
      <c r="L151">
        <v>1.5</v>
      </c>
      <c r="M151" t="b">
        <v>1</v>
      </c>
      <c r="N151" t="b">
        <v>1</v>
      </c>
      <c r="O151" t="b">
        <v>0</v>
      </c>
      <c r="P151" t="b">
        <v>0</v>
      </c>
      <c r="Q151" t="b">
        <v>1</v>
      </c>
      <c r="R151" t="b">
        <v>0</v>
      </c>
      <c r="S151" t="b">
        <v>1</v>
      </c>
      <c r="T151">
        <v>4</v>
      </c>
      <c r="U151" s="1">
        <v>0.52391628378320798</v>
      </c>
      <c r="V151" s="1">
        <v>0.99467310286929123</v>
      </c>
      <c r="W151" s="1">
        <v>1.0260662719952819E-3</v>
      </c>
      <c r="X151">
        <v>5.5</v>
      </c>
      <c r="Y151" s="1">
        <v>0.50625000000000009</v>
      </c>
    </row>
    <row r="152" spans="1:25">
      <c r="B152" t="str">
        <f t="shared" si="4"/>
        <v>L</v>
      </c>
      <c r="C152" t="s">
        <v>71</v>
      </c>
      <c r="D152" t="str">
        <f t="shared" si="5"/>
        <v>L-货币活化</v>
      </c>
      <c r="E152" t="s">
        <v>545</v>
      </c>
      <c r="F152" t="s">
        <v>548</v>
      </c>
      <c r="G152" t="s">
        <v>549</v>
      </c>
      <c r="H152">
        <v>0</v>
      </c>
      <c r="I152">
        <v>0</v>
      </c>
      <c r="J152">
        <v>0</v>
      </c>
      <c r="K152">
        <v>0.5</v>
      </c>
      <c r="L152">
        <v>0.5</v>
      </c>
      <c r="M152" t="b">
        <v>1</v>
      </c>
      <c r="N152" t="b">
        <v>1</v>
      </c>
      <c r="O152" t="b">
        <v>0</v>
      </c>
      <c r="P152" t="b">
        <v>0</v>
      </c>
      <c r="Q152" t="b">
        <v>1</v>
      </c>
      <c r="R152" t="b">
        <v>0</v>
      </c>
      <c r="S152" t="b">
        <v>1</v>
      </c>
      <c r="T152">
        <v>4</v>
      </c>
      <c r="U152" s="1">
        <v>0.52386939967089219</v>
      </c>
      <c r="V152" s="1">
        <v>0.9843049189916957</v>
      </c>
      <c r="W152" s="1">
        <v>8.6747405525421724E-4</v>
      </c>
      <c r="X152">
        <v>4.5</v>
      </c>
      <c r="Y152" s="1">
        <v>0.484375</v>
      </c>
    </row>
    <row r="153" spans="1:25">
      <c r="B153" t="str">
        <f t="shared" si="4"/>
        <v>L</v>
      </c>
      <c r="C153" t="s">
        <v>71</v>
      </c>
      <c r="D153" t="str">
        <f t="shared" si="5"/>
        <v>L-货币活化</v>
      </c>
      <c r="E153" t="s">
        <v>550</v>
      </c>
      <c r="F153" t="s">
        <v>551</v>
      </c>
      <c r="G153" t="s">
        <v>552</v>
      </c>
      <c r="H153">
        <v>0</v>
      </c>
      <c r="I153">
        <v>0</v>
      </c>
      <c r="J153">
        <v>0</v>
      </c>
      <c r="K153">
        <v>0.5</v>
      </c>
      <c r="L153">
        <v>0.5</v>
      </c>
      <c r="M153" t="b">
        <v>1</v>
      </c>
      <c r="N153" t="b">
        <v>1</v>
      </c>
      <c r="O153" t="b">
        <v>0</v>
      </c>
      <c r="P153" t="b">
        <v>0</v>
      </c>
      <c r="Q153" t="b">
        <v>1</v>
      </c>
      <c r="R153" t="b">
        <v>0</v>
      </c>
      <c r="S153" t="b">
        <v>1</v>
      </c>
      <c r="T153">
        <v>4</v>
      </c>
      <c r="U153" s="1">
        <v>0.5233399600176396</v>
      </c>
      <c r="V153" s="1">
        <v>0.99595553013338967</v>
      </c>
      <c r="W153" s="1">
        <v>9.8019964624720718E-4</v>
      </c>
      <c r="X153">
        <v>4.5</v>
      </c>
      <c r="Y153" s="1">
        <v>0.48333333333333328</v>
      </c>
    </row>
    <row r="154" spans="1:25">
      <c r="B154" t="str">
        <f t="shared" si="4"/>
        <v>L</v>
      </c>
      <c r="C154" t="s">
        <v>71</v>
      </c>
      <c r="D154" t="str">
        <f t="shared" si="5"/>
        <v>L-货币活化</v>
      </c>
      <c r="E154" t="s">
        <v>553</v>
      </c>
      <c r="F154" t="s">
        <v>554</v>
      </c>
      <c r="G154" t="s">
        <v>555</v>
      </c>
      <c r="H154">
        <v>0</v>
      </c>
      <c r="I154">
        <v>0</v>
      </c>
      <c r="J154">
        <v>0</v>
      </c>
      <c r="K154">
        <v>0.5</v>
      </c>
      <c r="L154">
        <v>0.5</v>
      </c>
      <c r="M154" t="b">
        <v>1</v>
      </c>
      <c r="N154" t="b">
        <v>1</v>
      </c>
      <c r="O154" t="b">
        <v>0</v>
      </c>
      <c r="P154" t="b">
        <v>0</v>
      </c>
      <c r="Q154" t="b">
        <v>1</v>
      </c>
      <c r="R154" t="b">
        <v>0</v>
      </c>
      <c r="S154" t="b">
        <v>1</v>
      </c>
      <c r="T154">
        <v>4</v>
      </c>
      <c r="U154" s="1">
        <v>0.52528192267995943</v>
      </c>
      <c r="V154" s="1">
        <v>0.9657840052244776</v>
      </c>
      <c r="W154" s="1">
        <v>7.3272822959017411E-4</v>
      </c>
      <c r="X154">
        <v>4.5</v>
      </c>
      <c r="Y154" s="1">
        <v>0.48333333333333339</v>
      </c>
    </row>
    <row r="155" spans="1:25">
      <c r="A155" s="7" t="s">
        <v>195</v>
      </c>
      <c r="B155" s="2" t="str">
        <f t="shared" si="4"/>
        <v>L</v>
      </c>
      <c r="C155" s="2" t="s">
        <v>71</v>
      </c>
      <c r="D155" s="2" t="str">
        <f t="shared" si="5"/>
        <v>L-货币活化</v>
      </c>
      <c r="E155" s="2" t="s">
        <v>556</v>
      </c>
      <c r="F155" s="2" t="s">
        <v>557</v>
      </c>
      <c r="G155" s="2" t="s">
        <v>558</v>
      </c>
      <c r="H155" s="2">
        <v>0</v>
      </c>
      <c r="I155" s="2">
        <v>1</v>
      </c>
      <c r="J155" s="2">
        <v>0.5</v>
      </c>
      <c r="K155" s="2">
        <v>0</v>
      </c>
      <c r="L155" s="2">
        <v>1.5</v>
      </c>
      <c r="M155" s="2" t="b">
        <v>1</v>
      </c>
      <c r="N155" s="2" t="b">
        <v>1</v>
      </c>
      <c r="O155" s="2" t="b">
        <v>1</v>
      </c>
      <c r="P155" s="2" t="b">
        <v>0</v>
      </c>
      <c r="Q155" s="2" t="b">
        <v>1</v>
      </c>
      <c r="R155" s="2" t="b">
        <v>1</v>
      </c>
      <c r="S155" s="2" t="b">
        <v>1</v>
      </c>
      <c r="T155" s="2">
        <v>6</v>
      </c>
      <c r="U155" s="3">
        <v>0.52774364895233972</v>
      </c>
      <c r="V155" s="3">
        <v>1.019534871066222</v>
      </c>
      <c r="W155" s="3">
        <v>1.571149597052344E-3</v>
      </c>
      <c r="X155" s="2">
        <v>7.5</v>
      </c>
      <c r="Y155" s="3">
        <v>0.51875000000000004</v>
      </c>
    </row>
    <row r="156" spans="1:25">
      <c r="B156" t="str">
        <f t="shared" si="4"/>
        <v>O</v>
      </c>
      <c r="C156" t="s">
        <v>75</v>
      </c>
      <c r="D156" t="str">
        <f t="shared" si="5"/>
        <v>O-全球风险偏好</v>
      </c>
      <c r="E156" t="s">
        <v>559</v>
      </c>
      <c r="F156" t="s">
        <v>560</v>
      </c>
      <c r="G156" t="s">
        <v>561</v>
      </c>
      <c r="H156">
        <v>0</v>
      </c>
      <c r="I156">
        <v>1</v>
      </c>
      <c r="J156">
        <v>0.5</v>
      </c>
      <c r="K156">
        <v>0</v>
      </c>
      <c r="L156">
        <v>1.5</v>
      </c>
      <c r="M156" t="b">
        <v>1</v>
      </c>
      <c r="N156" t="b">
        <v>1</v>
      </c>
      <c r="O156" t="b">
        <v>0</v>
      </c>
      <c r="P156" t="b">
        <v>0</v>
      </c>
      <c r="Q156" t="b">
        <v>1</v>
      </c>
      <c r="R156" t="b">
        <v>0</v>
      </c>
      <c r="S156" t="b">
        <v>1</v>
      </c>
      <c r="T156">
        <v>4</v>
      </c>
      <c r="U156" s="1">
        <v>0.52793484559923476</v>
      </c>
      <c r="V156" s="1">
        <v>0.9867930989374859</v>
      </c>
      <c r="W156" s="1">
        <v>1.0643165988268621E-3</v>
      </c>
      <c r="X156">
        <v>5.5</v>
      </c>
      <c r="Y156" s="1">
        <v>0.49479166666666669</v>
      </c>
    </row>
    <row r="157" spans="1:25">
      <c r="B157" t="str">
        <f t="shared" si="4"/>
        <v>O</v>
      </c>
      <c r="C157" t="s">
        <v>75</v>
      </c>
      <c r="D157" t="str">
        <f t="shared" si="5"/>
        <v>O-全球风险偏好</v>
      </c>
      <c r="E157" t="s">
        <v>562</v>
      </c>
      <c r="F157" t="s">
        <v>563</v>
      </c>
      <c r="G157" t="s">
        <v>564</v>
      </c>
      <c r="H157">
        <v>0</v>
      </c>
      <c r="I157">
        <v>1</v>
      </c>
      <c r="J157">
        <v>0.5</v>
      </c>
      <c r="K157">
        <v>0.5</v>
      </c>
      <c r="L157">
        <v>2</v>
      </c>
      <c r="M157" t="b">
        <v>1</v>
      </c>
      <c r="N157" t="b">
        <v>1</v>
      </c>
      <c r="O157" t="b">
        <v>0</v>
      </c>
      <c r="P157" t="b">
        <v>0</v>
      </c>
      <c r="Q157" t="b">
        <v>1</v>
      </c>
      <c r="R157" t="b">
        <v>0</v>
      </c>
      <c r="S157" t="b">
        <v>1</v>
      </c>
      <c r="T157">
        <v>4</v>
      </c>
      <c r="U157" s="1">
        <v>0.52742831170744042</v>
      </c>
      <c r="V157" s="1">
        <v>0.98051557879416007</v>
      </c>
      <c r="W157" s="1">
        <v>9.8285219720263485E-4</v>
      </c>
      <c r="X157">
        <v>6</v>
      </c>
      <c r="Y157" s="1">
        <v>0.49895833333333339</v>
      </c>
    </row>
    <row r="158" spans="1:25">
      <c r="B158" t="str">
        <f t="shared" si="4"/>
        <v>O</v>
      </c>
      <c r="C158" t="s">
        <v>78</v>
      </c>
      <c r="D158" t="str">
        <f t="shared" si="5"/>
        <v>O-全球科技成长</v>
      </c>
      <c r="E158" t="s">
        <v>565</v>
      </c>
      <c r="F158" t="s">
        <v>566</v>
      </c>
      <c r="G158" t="s">
        <v>567</v>
      </c>
      <c r="H158">
        <v>0</v>
      </c>
      <c r="I158">
        <v>0</v>
      </c>
      <c r="J158">
        <v>0</v>
      </c>
      <c r="K158">
        <v>0</v>
      </c>
      <c r="L158">
        <v>0</v>
      </c>
      <c r="M158" t="b">
        <v>1</v>
      </c>
      <c r="N158" t="b">
        <v>1</v>
      </c>
      <c r="O158" t="b">
        <v>0</v>
      </c>
      <c r="P158" t="b">
        <v>0</v>
      </c>
      <c r="Q158" t="b">
        <v>0</v>
      </c>
      <c r="R158" t="b">
        <v>0</v>
      </c>
      <c r="S158" t="b">
        <v>1</v>
      </c>
      <c r="T158">
        <v>3</v>
      </c>
      <c r="U158" s="1">
        <v>0.51868263593108177</v>
      </c>
      <c r="V158" s="1">
        <v>0.98182022159809834</v>
      </c>
      <c r="W158" s="1">
        <v>6.1328363667142245E-4</v>
      </c>
      <c r="X158">
        <v>3</v>
      </c>
      <c r="Y158" s="1">
        <v>0.49062499999999998</v>
      </c>
    </row>
    <row r="159" spans="1:25">
      <c r="B159" t="str">
        <f t="shared" si="4"/>
        <v>O</v>
      </c>
      <c r="C159" t="s">
        <v>78</v>
      </c>
      <c r="D159" t="str">
        <f t="shared" si="5"/>
        <v>O-全球科技成长</v>
      </c>
      <c r="E159" t="s">
        <v>568</v>
      </c>
      <c r="F159" t="s">
        <v>569</v>
      </c>
      <c r="G159" t="s">
        <v>570</v>
      </c>
      <c r="H159">
        <v>0</v>
      </c>
      <c r="I159">
        <v>1</v>
      </c>
      <c r="J159">
        <v>0</v>
      </c>
      <c r="K159">
        <v>0</v>
      </c>
      <c r="L159">
        <v>1</v>
      </c>
      <c r="M159" t="b">
        <v>1</v>
      </c>
      <c r="N159" t="b">
        <v>1</v>
      </c>
      <c r="O159" t="b">
        <v>0</v>
      </c>
      <c r="P159" t="b">
        <v>0</v>
      </c>
      <c r="Q159" t="b">
        <v>0</v>
      </c>
      <c r="R159" t="b">
        <v>0</v>
      </c>
      <c r="S159" t="b">
        <v>1</v>
      </c>
      <c r="T159">
        <v>3</v>
      </c>
      <c r="U159" s="1">
        <v>0.51781051651342991</v>
      </c>
      <c r="V159" s="1">
        <v>0.98953462221123645</v>
      </c>
      <c r="W159" s="1">
        <v>7.0389953779726388E-4</v>
      </c>
      <c r="X159">
        <v>4</v>
      </c>
      <c r="Y159" s="1">
        <v>0.48749999999999999</v>
      </c>
    </row>
    <row r="160" spans="1:25">
      <c r="B160" t="str">
        <f t="shared" si="4"/>
        <v>O</v>
      </c>
      <c r="C160" t="s">
        <v>78</v>
      </c>
      <c r="D160" t="str">
        <f t="shared" si="5"/>
        <v>O-全球科技成长</v>
      </c>
      <c r="E160" t="s">
        <v>571</v>
      </c>
      <c r="F160" t="s">
        <v>572</v>
      </c>
      <c r="G160" t="s">
        <v>573</v>
      </c>
      <c r="H160">
        <v>0</v>
      </c>
      <c r="I160">
        <v>0</v>
      </c>
      <c r="J160">
        <v>0</v>
      </c>
      <c r="K160">
        <v>0</v>
      </c>
      <c r="L160">
        <v>0</v>
      </c>
      <c r="M160" t="b">
        <v>1</v>
      </c>
      <c r="N160" t="b">
        <v>1</v>
      </c>
      <c r="O160" t="b">
        <v>0</v>
      </c>
      <c r="P160" t="b">
        <v>0</v>
      </c>
      <c r="Q160" t="b">
        <v>0</v>
      </c>
      <c r="R160" t="b">
        <v>0</v>
      </c>
      <c r="S160" t="b">
        <v>1</v>
      </c>
      <c r="T160">
        <v>3</v>
      </c>
      <c r="U160" s="1">
        <v>0.51655484405370389</v>
      </c>
      <c r="V160" s="1">
        <v>0.97916339348652648</v>
      </c>
      <c r="W160" s="1">
        <v>5.15191907689996E-4</v>
      </c>
      <c r="X160">
        <v>3</v>
      </c>
      <c r="Y160" s="1">
        <v>0.48125000000000001</v>
      </c>
    </row>
    <row r="161" spans="1:25">
      <c r="B161" t="str">
        <f t="shared" si="4"/>
        <v>O</v>
      </c>
      <c r="C161" t="s">
        <v>78</v>
      </c>
      <c r="D161" t="str">
        <f t="shared" si="5"/>
        <v>O-全球科技成长</v>
      </c>
      <c r="E161" t="s">
        <v>574</v>
      </c>
      <c r="F161" t="s">
        <v>575</v>
      </c>
      <c r="G161" t="s">
        <v>576</v>
      </c>
      <c r="H161">
        <v>0</v>
      </c>
      <c r="I161">
        <v>0</v>
      </c>
      <c r="J161">
        <v>0</v>
      </c>
      <c r="K161">
        <v>0</v>
      </c>
      <c r="L161">
        <v>0</v>
      </c>
      <c r="M161" t="b">
        <v>1</v>
      </c>
      <c r="N161" t="b">
        <v>1</v>
      </c>
      <c r="O161" t="b">
        <v>0</v>
      </c>
      <c r="P161" t="b">
        <v>0</v>
      </c>
      <c r="Q161" t="b">
        <v>0</v>
      </c>
      <c r="R161" t="b">
        <v>0</v>
      </c>
      <c r="S161" t="b">
        <v>1</v>
      </c>
      <c r="T161">
        <v>3</v>
      </c>
      <c r="U161" s="1">
        <v>0.51569416367428045</v>
      </c>
      <c r="V161" s="1">
        <v>0.99625246048441485</v>
      </c>
      <c r="W161" s="1">
        <v>6.7457822681121489E-4</v>
      </c>
      <c r="X161">
        <v>3</v>
      </c>
      <c r="Y161" s="1">
        <v>0.484375</v>
      </c>
    </row>
    <row r="162" spans="1:25">
      <c r="B162" t="str">
        <f t="shared" si="4"/>
        <v>O</v>
      </c>
      <c r="C162" t="s">
        <v>78</v>
      </c>
      <c r="D162" t="str">
        <f t="shared" si="5"/>
        <v>O-全球科技成长</v>
      </c>
      <c r="E162" t="s">
        <v>577</v>
      </c>
      <c r="F162" t="s">
        <v>578</v>
      </c>
      <c r="G162" t="s">
        <v>579</v>
      </c>
      <c r="H162">
        <v>0</v>
      </c>
      <c r="I162">
        <v>0</v>
      </c>
      <c r="J162">
        <v>0</v>
      </c>
      <c r="K162">
        <v>0</v>
      </c>
      <c r="L162">
        <v>0</v>
      </c>
      <c r="M162" t="b">
        <v>1</v>
      </c>
      <c r="N162" t="b">
        <v>1</v>
      </c>
      <c r="O162" t="b">
        <v>0</v>
      </c>
      <c r="P162" t="b">
        <v>0</v>
      </c>
      <c r="Q162" t="b">
        <v>0</v>
      </c>
      <c r="R162" t="b">
        <v>0</v>
      </c>
      <c r="S162" t="b">
        <v>1</v>
      </c>
      <c r="T162">
        <v>3</v>
      </c>
      <c r="U162" s="1">
        <v>0.51448263422720752</v>
      </c>
      <c r="V162" s="1">
        <v>0.99617930058239368</v>
      </c>
      <c r="W162" s="1">
        <v>6.2640129465809107E-4</v>
      </c>
      <c r="X162">
        <v>3</v>
      </c>
      <c r="Y162" s="1">
        <v>0.46770833333333328</v>
      </c>
    </row>
    <row r="163" spans="1:25">
      <c r="B163" t="str">
        <f t="shared" si="4"/>
        <v>O</v>
      </c>
      <c r="C163" t="s">
        <v>78</v>
      </c>
      <c r="D163" t="str">
        <f t="shared" si="5"/>
        <v>O-全球科技成长</v>
      </c>
      <c r="E163" t="s">
        <v>580</v>
      </c>
      <c r="F163" t="s">
        <v>581</v>
      </c>
      <c r="G163" t="s">
        <v>582</v>
      </c>
      <c r="H163">
        <v>0</v>
      </c>
      <c r="I163">
        <v>0</v>
      </c>
      <c r="J163">
        <v>0</v>
      </c>
      <c r="K163">
        <v>0</v>
      </c>
      <c r="L163">
        <v>0</v>
      </c>
      <c r="M163" t="b">
        <v>1</v>
      </c>
      <c r="N163" t="b">
        <v>1</v>
      </c>
      <c r="O163" t="b">
        <v>0</v>
      </c>
      <c r="P163" t="b">
        <v>0</v>
      </c>
      <c r="Q163" t="b">
        <v>1</v>
      </c>
      <c r="R163" t="b">
        <v>0</v>
      </c>
      <c r="S163" t="b">
        <v>1</v>
      </c>
      <c r="T163">
        <v>4</v>
      </c>
      <c r="U163" s="1">
        <v>0.52699632487143622</v>
      </c>
      <c r="V163" s="1">
        <v>0.96692404208261684</v>
      </c>
      <c r="W163" s="1">
        <v>8.2223113891098307E-4</v>
      </c>
      <c r="X163">
        <v>4</v>
      </c>
      <c r="Y163" s="1">
        <v>0.49062499999999998</v>
      </c>
    </row>
    <row r="164" spans="1:25">
      <c r="B164" t="str">
        <f t="shared" si="4"/>
        <v>O</v>
      </c>
      <c r="C164" t="s">
        <v>80</v>
      </c>
      <c r="D164" t="str">
        <f t="shared" si="5"/>
        <v>O-全球贸易景气</v>
      </c>
      <c r="E164" t="s">
        <v>583</v>
      </c>
      <c r="F164" t="s">
        <v>584</v>
      </c>
      <c r="G164" t="s">
        <v>585</v>
      </c>
      <c r="H164">
        <v>0</v>
      </c>
      <c r="I164">
        <v>0</v>
      </c>
      <c r="J164">
        <v>0</v>
      </c>
      <c r="K164">
        <v>0</v>
      </c>
      <c r="L164">
        <v>0</v>
      </c>
      <c r="M164" t="b">
        <v>1</v>
      </c>
      <c r="N164" t="b">
        <v>1</v>
      </c>
      <c r="O164" t="b">
        <v>0</v>
      </c>
      <c r="P164" t="b">
        <v>0</v>
      </c>
      <c r="Q164" t="b">
        <v>1</v>
      </c>
      <c r="R164" t="b">
        <v>0</v>
      </c>
      <c r="S164" t="b">
        <v>1</v>
      </c>
      <c r="T164">
        <v>4</v>
      </c>
      <c r="U164" s="1">
        <v>0.52487764819528449</v>
      </c>
      <c r="V164" s="1">
        <v>0.97815681377805441</v>
      </c>
      <c r="W164" s="1">
        <v>8.4173730607337255E-4</v>
      </c>
      <c r="X164">
        <v>4</v>
      </c>
      <c r="Y164" s="1">
        <v>0.47916666666666669</v>
      </c>
    </row>
    <row r="165" spans="1:25">
      <c r="A165" s="6" t="s">
        <v>195</v>
      </c>
      <c r="B165" t="str">
        <f t="shared" si="4"/>
        <v>O</v>
      </c>
      <c r="C165" t="s">
        <v>82</v>
      </c>
      <c r="D165" t="str">
        <f t="shared" si="5"/>
        <v>O-美国宏观</v>
      </c>
      <c r="E165" t="s">
        <v>586</v>
      </c>
      <c r="F165" t="s">
        <v>356</v>
      </c>
      <c r="G165" t="s">
        <v>587</v>
      </c>
      <c r="H165">
        <v>1</v>
      </c>
      <c r="I165">
        <v>0</v>
      </c>
      <c r="J165">
        <v>0</v>
      </c>
      <c r="K165">
        <v>0</v>
      </c>
      <c r="L165">
        <v>1</v>
      </c>
      <c r="M165" t="b">
        <v>0</v>
      </c>
      <c r="N165" t="b">
        <v>1</v>
      </c>
      <c r="O165" t="b">
        <v>0</v>
      </c>
      <c r="P165" t="b">
        <v>0</v>
      </c>
      <c r="Q165" t="b">
        <v>1</v>
      </c>
      <c r="R165" t="b">
        <v>0</v>
      </c>
      <c r="S165" t="b">
        <v>1</v>
      </c>
      <c r="T165">
        <v>3</v>
      </c>
      <c r="U165" s="1">
        <v>0.52679303608598138</v>
      </c>
      <c r="V165" s="1">
        <v>0.96815056612466832</v>
      </c>
      <c r="W165" s="1">
        <v>8.6643007525234533E-4</v>
      </c>
      <c r="X165">
        <v>4</v>
      </c>
      <c r="Y165" s="1">
        <v>0.51249999999999996</v>
      </c>
    </row>
    <row r="166" spans="1:25">
      <c r="B166" t="str">
        <f t="shared" si="4"/>
        <v>O</v>
      </c>
      <c r="C166" t="s">
        <v>82</v>
      </c>
      <c r="D166" t="str">
        <f t="shared" si="5"/>
        <v>O-美国宏观</v>
      </c>
      <c r="E166" t="s">
        <v>588</v>
      </c>
      <c r="F166" t="s">
        <v>589</v>
      </c>
      <c r="G166" t="s">
        <v>590</v>
      </c>
      <c r="H166">
        <v>0</v>
      </c>
      <c r="I166">
        <v>1</v>
      </c>
      <c r="J166">
        <v>0.5</v>
      </c>
      <c r="K166">
        <v>0</v>
      </c>
      <c r="L166">
        <v>1.5</v>
      </c>
      <c r="M166" t="b">
        <v>1</v>
      </c>
      <c r="N166" t="b">
        <v>1</v>
      </c>
      <c r="O166" t="b">
        <v>0</v>
      </c>
      <c r="P166" t="b">
        <v>0</v>
      </c>
      <c r="Q166" t="b">
        <v>1</v>
      </c>
      <c r="R166" t="b">
        <v>0</v>
      </c>
      <c r="S166" t="b">
        <v>1</v>
      </c>
      <c r="T166">
        <v>4</v>
      </c>
      <c r="U166" s="1">
        <v>0.52897736982073762</v>
      </c>
      <c r="V166" s="1">
        <v>0.98991960645976573</v>
      </c>
      <c r="W166" s="1">
        <v>1.146005813496268E-3</v>
      </c>
      <c r="X166">
        <v>5.5</v>
      </c>
      <c r="Y166" s="1">
        <v>0.4958333333333334</v>
      </c>
    </row>
    <row r="167" spans="1:25">
      <c r="B167" t="str">
        <f t="shared" si="4"/>
        <v>O</v>
      </c>
      <c r="C167" t="s">
        <v>82</v>
      </c>
      <c r="D167" t="str">
        <f t="shared" si="5"/>
        <v>O-美国宏观</v>
      </c>
      <c r="E167" t="s">
        <v>591</v>
      </c>
      <c r="F167" t="s">
        <v>592</v>
      </c>
      <c r="G167" t="s">
        <v>593</v>
      </c>
      <c r="H167">
        <v>0</v>
      </c>
      <c r="I167">
        <v>0</v>
      </c>
      <c r="J167">
        <v>0.5</v>
      </c>
      <c r="K167">
        <v>0.5</v>
      </c>
      <c r="L167">
        <v>1</v>
      </c>
      <c r="M167" t="b">
        <v>1</v>
      </c>
      <c r="N167" t="b">
        <v>1</v>
      </c>
      <c r="O167" t="b">
        <v>0</v>
      </c>
      <c r="P167" t="b">
        <v>0</v>
      </c>
      <c r="Q167" t="b">
        <v>1</v>
      </c>
      <c r="R167" t="b">
        <v>0</v>
      </c>
      <c r="S167" t="b">
        <v>1</v>
      </c>
      <c r="T167">
        <v>4</v>
      </c>
      <c r="U167" s="1">
        <v>0.52543002726434651</v>
      </c>
      <c r="V167" s="1">
        <v>0.9503543930871714</v>
      </c>
      <c r="W167" s="1">
        <v>5.5354384972374567E-4</v>
      </c>
      <c r="X167">
        <v>5</v>
      </c>
      <c r="Y167" s="1">
        <v>0.50312500000000004</v>
      </c>
    </row>
    <row r="168" spans="1:25">
      <c r="A168" s="7"/>
      <c r="B168" s="2" t="str">
        <f t="shared" si="4"/>
        <v>O</v>
      </c>
      <c r="C168" s="2" t="s">
        <v>82</v>
      </c>
      <c r="D168" s="2" t="str">
        <f t="shared" si="5"/>
        <v>O-美国宏观</v>
      </c>
      <c r="E168" s="2" t="s">
        <v>594</v>
      </c>
      <c r="F168" s="2" t="s">
        <v>592</v>
      </c>
      <c r="G168" s="2" t="s">
        <v>595</v>
      </c>
      <c r="H168" s="2">
        <v>0</v>
      </c>
      <c r="I168" s="2">
        <v>1</v>
      </c>
      <c r="J168" s="2">
        <v>0.5</v>
      </c>
      <c r="K168" s="2">
        <v>0.5</v>
      </c>
      <c r="L168" s="2">
        <v>2</v>
      </c>
      <c r="M168" s="2" t="b">
        <v>1</v>
      </c>
      <c r="N168" s="2" t="b">
        <v>1</v>
      </c>
      <c r="O168" s="2" t="b">
        <v>0</v>
      </c>
      <c r="P168" s="2" t="b">
        <v>0</v>
      </c>
      <c r="Q168" s="2" t="b">
        <v>1</v>
      </c>
      <c r="R168" s="2" t="b">
        <v>1</v>
      </c>
      <c r="S168" s="2" t="b">
        <v>1</v>
      </c>
      <c r="T168" s="2">
        <v>5</v>
      </c>
      <c r="U168" s="3">
        <v>0.52007737362762896</v>
      </c>
      <c r="V168" s="3">
        <v>1.011812570525803</v>
      </c>
      <c r="W168" s="3">
        <v>1.0750503820566521E-3</v>
      </c>
      <c r="X168" s="2">
        <v>7</v>
      </c>
      <c r="Y168" s="3">
        <v>0.4958333333333334</v>
      </c>
    </row>
    <row r="169" spans="1:25">
      <c r="B169" t="str">
        <f t="shared" si="4"/>
        <v>P</v>
      </c>
      <c r="C169" t="s">
        <v>85</v>
      </c>
      <c r="D169" t="str">
        <f t="shared" si="5"/>
        <v>P-风格利润兑现</v>
      </c>
      <c r="E169" t="s">
        <v>596</v>
      </c>
      <c r="F169" t="s">
        <v>597</v>
      </c>
      <c r="G169" t="s">
        <v>598</v>
      </c>
      <c r="H169">
        <v>0</v>
      </c>
      <c r="I169">
        <v>1</v>
      </c>
      <c r="J169">
        <v>0.5</v>
      </c>
      <c r="K169">
        <v>0.5</v>
      </c>
      <c r="L169">
        <v>2</v>
      </c>
      <c r="M169" t="b">
        <v>1</v>
      </c>
      <c r="N169" t="b">
        <v>1</v>
      </c>
      <c r="O169" t="b">
        <v>0</v>
      </c>
      <c r="P169" t="b">
        <v>0</v>
      </c>
      <c r="Q169" t="b">
        <v>1</v>
      </c>
      <c r="R169" t="b">
        <v>0</v>
      </c>
      <c r="S169" t="b">
        <v>1</v>
      </c>
      <c r="T169">
        <v>4</v>
      </c>
      <c r="U169" s="1">
        <v>0.52137189096902226</v>
      </c>
      <c r="V169" s="1">
        <v>0.98405997204013196</v>
      </c>
      <c r="W169" s="1">
        <v>8.1092596682880852E-4</v>
      </c>
      <c r="X169">
        <v>6</v>
      </c>
      <c r="Y169" s="1">
        <v>0.47916666666666669</v>
      </c>
    </row>
    <row r="170" spans="1:25">
      <c r="B170" t="str">
        <f t="shared" si="4"/>
        <v>P</v>
      </c>
      <c r="C170" t="s">
        <v>85</v>
      </c>
      <c r="D170" t="str">
        <f t="shared" si="5"/>
        <v>P-风格利润兑现</v>
      </c>
      <c r="E170" t="s">
        <v>599</v>
      </c>
      <c r="F170" t="s">
        <v>600</v>
      </c>
      <c r="G170" t="s">
        <v>601</v>
      </c>
      <c r="H170">
        <v>1</v>
      </c>
      <c r="I170">
        <v>1</v>
      </c>
      <c r="J170">
        <v>0.5</v>
      </c>
      <c r="K170">
        <v>0.5</v>
      </c>
      <c r="L170">
        <v>3</v>
      </c>
      <c r="M170" t="b">
        <v>1</v>
      </c>
      <c r="N170" t="b">
        <v>1</v>
      </c>
      <c r="O170" t="b">
        <v>0</v>
      </c>
      <c r="P170" t="b">
        <v>0</v>
      </c>
      <c r="Q170" t="b">
        <v>1</v>
      </c>
      <c r="R170" t="b">
        <v>0</v>
      </c>
      <c r="S170" t="b">
        <v>1</v>
      </c>
      <c r="T170">
        <v>4</v>
      </c>
      <c r="U170" s="1">
        <v>0.52136834787913666</v>
      </c>
      <c r="V170" s="1">
        <v>0.98375047991414455</v>
      </c>
      <c r="W170" s="1">
        <v>8.1662571024518208E-4</v>
      </c>
      <c r="X170">
        <v>7</v>
      </c>
      <c r="Y170" s="1">
        <v>0.47083333333333333</v>
      </c>
    </row>
    <row r="171" spans="1:25">
      <c r="A171" s="6">
        <v>1</v>
      </c>
      <c r="B171" t="str">
        <f t="shared" si="4"/>
        <v>P</v>
      </c>
      <c r="C171" t="s">
        <v>85</v>
      </c>
      <c r="D171" t="str">
        <f t="shared" si="5"/>
        <v>P-风格利润兑现</v>
      </c>
      <c r="E171" t="s">
        <v>602</v>
      </c>
      <c r="F171" t="s">
        <v>603</v>
      </c>
      <c r="G171" t="s">
        <v>604</v>
      </c>
      <c r="H171">
        <v>0</v>
      </c>
      <c r="I171">
        <v>1</v>
      </c>
      <c r="J171">
        <v>0.5</v>
      </c>
      <c r="K171">
        <v>0.5</v>
      </c>
      <c r="L171">
        <v>2</v>
      </c>
      <c r="M171" t="b">
        <v>1</v>
      </c>
      <c r="N171" t="b">
        <v>1</v>
      </c>
      <c r="O171" t="b">
        <v>0</v>
      </c>
      <c r="P171" t="b">
        <v>0</v>
      </c>
      <c r="Q171" t="b">
        <v>1</v>
      </c>
      <c r="R171" t="b">
        <v>0</v>
      </c>
      <c r="S171" t="b">
        <v>1</v>
      </c>
      <c r="T171">
        <v>4</v>
      </c>
      <c r="U171" s="1">
        <v>0.5228581402774759</v>
      </c>
      <c r="V171" s="1">
        <v>0.98521978381051267</v>
      </c>
      <c r="W171" s="1">
        <v>8.9243308559680784E-4</v>
      </c>
      <c r="X171">
        <v>6</v>
      </c>
      <c r="Y171" s="1">
        <v>0.51145833333333335</v>
      </c>
    </row>
    <row r="172" spans="1:25">
      <c r="A172" s="6" t="s">
        <v>605</v>
      </c>
      <c r="B172" t="str">
        <f t="shared" si="4"/>
        <v>P</v>
      </c>
      <c r="C172" t="s">
        <v>85</v>
      </c>
      <c r="D172" t="str">
        <f t="shared" si="5"/>
        <v>P-风格利润兑现</v>
      </c>
      <c r="E172" t="s">
        <v>606</v>
      </c>
      <c r="F172" t="s">
        <v>607</v>
      </c>
      <c r="G172" t="s">
        <v>608</v>
      </c>
      <c r="H172">
        <v>0</v>
      </c>
      <c r="I172">
        <v>1</v>
      </c>
      <c r="J172">
        <v>0</v>
      </c>
      <c r="K172">
        <v>0</v>
      </c>
      <c r="L172">
        <v>1</v>
      </c>
      <c r="M172" t="b">
        <v>1</v>
      </c>
      <c r="N172" t="b">
        <v>1</v>
      </c>
      <c r="O172" t="b">
        <v>1</v>
      </c>
      <c r="P172" t="b">
        <v>0</v>
      </c>
      <c r="Q172" t="b">
        <v>1</v>
      </c>
      <c r="R172" t="b">
        <v>1</v>
      </c>
      <c r="S172" t="b">
        <v>1</v>
      </c>
      <c r="T172">
        <v>6</v>
      </c>
      <c r="U172" s="1">
        <v>0.53773592529819736</v>
      </c>
      <c r="V172" s="1">
        <v>1.0188995631137741</v>
      </c>
      <c r="W172" s="1">
        <v>1.9786678342162542E-3</v>
      </c>
      <c r="X172">
        <v>7</v>
      </c>
      <c r="Y172" s="1">
        <v>0.53229166666666672</v>
      </c>
    </row>
    <row r="173" spans="1:25">
      <c r="B173" t="str">
        <f t="shared" si="4"/>
        <v>P</v>
      </c>
      <c r="C173" t="s">
        <v>85</v>
      </c>
      <c r="D173" t="str">
        <f t="shared" si="5"/>
        <v>P-风格利润兑现</v>
      </c>
      <c r="E173" t="s">
        <v>609</v>
      </c>
      <c r="F173" t="s">
        <v>610</v>
      </c>
      <c r="G173" t="s">
        <v>611</v>
      </c>
      <c r="H173">
        <v>1</v>
      </c>
      <c r="I173">
        <v>1</v>
      </c>
      <c r="J173">
        <v>0.5</v>
      </c>
      <c r="K173">
        <v>0.5</v>
      </c>
      <c r="L173">
        <v>3</v>
      </c>
      <c r="M173" t="b">
        <v>1</v>
      </c>
      <c r="N173" t="b">
        <v>1</v>
      </c>
      <c r="O173" t="b">
        <v>0</v>
      </c>
      <c r="P173" t="b">
        <v>0</v>
      </c>
      <c r="Q173" t="b">
        <v>1</v>
      </c>
      <c r="R173" t="b">
        <v>0</v>
      </c>
      <c r="S173" t="b">
        <v>1</v>
      </c>
      <c r="T173">
        <v>4</v>
      </c>
      <c r="U173" s="1">
        <v>0.52926261582552081</v>
      </c>
      <c r="V173" s="1">
        <v>0.99707761028161779</v>
      </c>
      <c r="W173" s="1">
        <v>1.2615242179080681E-3</v>
      </c>
      <c r="X173">
        <v>7</v>
      </c>
      <c r="Y173" s="1">
        <v>0.5072916666666667</v>
      </c>
    </row>
    <row r="174" spans="1:25">
      <c r="B174" t="str">
        <f t="shared" si="4"/>
        <v>P</v>
      </c>
      <c r="C174" t="s">
        <v>85</v>
      </c>
      <c r="D174" t="str">
        <f t="shared" si="5"/>
        <v>P-风格利润兑现</v>
      </c>
      <c r="E174" t="s">
        <v>612</v>
      </c>
      <c r="F174" t="s">
        <v>613</v>
      </c>
      <c r="G174" t="s">
        <v>614</v>
      </c>
      <c r="H174">
        <v>0</v>
      </c>
      <c r="I174">
        <v>1</v>
      </c>
      <c r="J174">
        <v>0</v>
      </c>
      <c r="K174">
        <v>0</v>
      </c>
      <c r="L174">
        <v>1</v>
      </c>
      <c r="M174" t="b">
        <v>0</v>
      </c>
      <c r="N174" t="b">
        <v>1</v>
      </c>
      <c r="O174" t="b">
        <v>0</v>
      </c>
      <c r="P174" t="b">
        <v>0</v>
      </c>
      <c r="Q174" t="b">
        <v>1</v>
      </c>
      <c r="R174" t="b">
        <v>0</v>
      </c>
      <c r="S174" t="b">
        <v>1</v>
      </c>
      <c r="T174">
        <v>3</v>
      </c>
      <c r="U174" s="1">
        <v>0.52462942378626309</v>
      </c>
      <c r="V174" s="1">
        <v>0.99081133190997073</v>
      </c>
      <c r="W174" s="1">
        <v>1.075336947803512E-3</v>
      </c>
      <c r="X174">
        <v>4</v>
      </c>
      <c r="Y174" s="1">
        <v>0.52083333333333337</v>
      </c>
    </row>
    <row r="175" spans="1:25">
      <c r="B175" t="str">
        <f t="shared" si="4"/>
        <v>P</v>
      </c>
      <c r="C175" t="s">
        <v>85</v>
      </c>
      <c r="D175" t="str">
        <f t="shared" si="5"/>
        <v>P-风格利润兑现</v>
      </c>
      <c r="E175" t="s">
        <v>615</v>
      </c>
      <c r="F175" t="s">
        <v>616</v>
      </c>
      <c r="G175" t="s">
        <v>617</v>
      </c>
      <c r="H175">
        <v>0</v>
      </c>
      <c r="I175">
        <v>1</v>
      </c>
      <c r="J175">
        <v>0.5</v>
      </c>
      <c r="K175">
        <v>0.5</v>
      </c>
      <c r="L175">
        <v>2</v>
      </c>
      <c r="M175" t="b">
        <v>1</v>
      </c>
      <c r="N175" t="b">
        <v>1</v>
      </c>
      <c r="O175" t="b">
        <v>0</v>
      </c>
      <c r="P175" t="b">
        <v>0</v>
      </c>
      <c r="Q175" t="b">
        <v>1</v>
      </c>
      <c r="R175" t="b">
        <v>1</v>
      </c>
      <c r="S175" t="b">
        <v>1</v>
      </c>
      <c r="T175">
        <v>5</v>
      </c>
      <c r="U175" s="1">
        <v>0.52217134271705701</v>
      </c>
      <c r="V175" s="1">
        <v>1.0102331599172121</v>
      </c>
      <c r="W175" s="1">
        <v>1.1485759735890349E-3</v>
      </c>
      <c r="X175">
        <v>7</v>
      </c>
      <c r="Y175" s="1">
        <v>0.5072916666666667</v>
      </c>
    </row>
    <row r="176" spans="1:25">
      <c r="B176" t="str">
        <f t="shared" si="4"/>
        <v>P</v>
      </c>
      <c r="C176" t="s">
        <v>85</v>
      </c>
      <c r="D176" t="str">
        <f t="shared" si="5"/>
        <v>P-风格利润兑现</v>
      </c>
      <c r="E176" t="s">
        <v>618</v>
      </c>
      <c r="F176" t="s">
        <v>619</v>
      </c>
      <c r="G176" t="s">
        <v>620</v>
      </c>
      <c r="H176">
        <v>0</v>
      </c>
      <c r="I176">
        <v>0</v>
      </c>
      <c r="J176">
        <v>0.5</v>
      </c>
      <c r="K176">
        <v>0.5</v>
      </c>
      <c r="L176">
        <v>1</v>
      </c>
      <c r="M176" t="b">
        <v>1</v>
      </c>
      <c r="N176" t="b">
        <v>1</v>
      </c>
      <c r="O176" t="b">
        <v>0</v>
      </c>
      <c r="P176" t="b">
        <v>1</v>
      </c>
      <c r="Q176" t="b">
        <v>1</v>
      </c>
      <c r="R176" t="b">
        <v>0</v>
      </c>
      <c r="S176" t="b">
        <v>1</v>
      </c>
      <c r="T176">
        <v>5</v>
      </c>
      <c r="U176" s="1">
        <v>0.52755066620572755</v>
      </c>
      <c r="V176" s="1">
        <v>0.9789641707055029</v>
      </c>
      <c r="W176" s="1">
        <v>9.3690600204131736E-4</v>
      </c>
      <c r="X176">
        <v>6</v>
      </c>
      <c r="Y176" s="1">
        <v>0.484375</v>
      </c>
    </row>
    <row r="177" spans="1:25">
      <c r="B177" t="str">
        <f t="shared" si="4"/>
        <v>P</v>
      </c>
      <c r="C177" t="s">
        <v>85</v>
      </c>
      <c r="D177" t="str">
        <f t="shared" si="5"/>
        <v>P-风格利润兑现</v>
      </c>
      <c r="E177" t="s">
        <v>621</v>
      </c>
      <c r="F177" t="s">
        <v>622</v>
      </c>
      <c r="G177" t="s">
        <v>623</v>
      </c>
      <c r="H177">
        <v>1</v>
      </c>
      <c r="I177">
        <v>0</v>
      </c>
      <c r="J177">
        <v>0</v>
      </c>
      <c r="K177">
        <v>0</v>
      </c>
      <c r="L177">
        <v>1</v>
      </c>
      <c r="M177" t="b">
        <v>0</v>
      </c>
      <c r="N177" t="b">
        <v>1</v>
      </c>
      <c r="O177" t="b">
        <v>0</v>
      </c>
      <c r="P177" t="b">
        <v>0</v>
      </c>
      <c r="Q177" t="b">
        <v>1</v>
      </c>
      <c r="R177" t="b">
        <v>1</v>
      </c>
      <c r="S177" t="b">
        <v>1</v>
      </c>
      <c r="T177">
        <v>4</v>
      </c>
      <c r="U177" s="1">
        <v>0.52519615740037295</v>
      </c>
      <c r="V177" s="1">
        <v>1.0172089745571471</v>
      </c>
      <c r="W177" s="1">
        <v>1.31097550434954E-3</v>
      </c>
      <c r="X177">
        <v>5</v>
      </c>
      <c r="Y177" s="1">
        <v>0.5</v>
      </c>
    </row>
    <row r="178" spans="1:25">
      <c r="B178" t="str">
        <f t="shared" si="4"/>
        <v>P</v>
      </c>
      <c r="C178" t="s">
        <v>85</v>
      </c>
      <c r="D178" t="str">
        <f t="shared" si="5"/>
        <v>P-风格利润兑现</v>
      </c>
      <c r="E178" t="s">
        <v>624</v>
      </c>
      <c r="F178" t="s">
        <v>625</v>
      </c>
      <c r="G178" t="s">
        <v>626</v>
      </c>
      <c r="H178">
        <v>0</v>
      </c>
      <c r="I178">
        <v>1</v>
      </c>
      <c r="J178">
        <v>0.5</v>
      </c>
      <c r="K178">
        <v>0.5</v>
      </c>
      <c r="L178">
        <v>2</v>
      </c>
      <c r="M178" t="b">
        <v>0</v>
      </c>
      <c r="N178" t="b">
        <v>1</v>
      </c>
      <c r="O178" t="b">
        <v>0</v>
      </c>
      <c r="P178" t="b">
        <v>0</v>
      </c>
      <c r="Q178" t="b">
        <v>0</v>
      </c>
      <c r="R178" t="b">
        <v>1</v>
      </c>
      <c r="S178" t="b">
        <v>1</v>
      </c>
      <c r="T178">
        <v>3</v>
      </c>
      <c r="U178" s="1">
        <v>0.51998897282727174</v>
      </c>
      <c r="V178" s="1">
        <v>1.034981021270813</v>
      </c>
      <c r="W178" s="1">
        <v>1.328548071161052E-3</v>
      </c>
      <c r="X178">
        <v>5</v>
      </c>
      <c r="Y178" s="1">
        <v>0.50937500000000002</v>
      </c>
    </row>
    <row r="179" spans="1:25">
      <c r="B179" t="str">
        <f t="shared" si="4"/>
        <v>P</v>
      </c>
      <c r="C179" t="s">
        <v>85</v>
      </c>
      <c r="D179" t="str">
        <f t="shared" si="5"/>
        <v>P-风格利润兑现</v>
      </c>
      <c r="E179" t="s">
        <v>627</v>
      </c>
      <c r="F179" t="s">
        <v>628</v>
      </c>
      <c r="G179" t="s">
        <v>629</v>
      </c>
      <c r="H179">
        <v>0</v>
      </c>
      <c r="I179">
        <v>1</v>
      </c>
      <c r="J179">
        <v>0</v>
      </c>
      <c r="K179">
        <v>0</v>
      </c>
      <c r="L179">
        <v>1</v>
      </c>
      <c r="M179" t="b">
        <v>1</v>
      </c>
      <c r="N179" t="b">
        <v>1</v>
      </c>
      <c r="O179" t="b">
        <v>0</v>
      </c>
      <c r="P179" t="b">
        <v>0</v>
      </c>
      <c r="Q179" t="b">
        <v>1</v>
      </c>
      <c r="R179" t="b">
        <v>0</v>
      </c>
      <c r="S179" t="b">
        <v>1</v>
      </c>
      <c r="T179">
        <v>4</v>
      </c>
      <c r="U179" s="1">
        <v>0.53135456273574</v>
      </c>
      <c r="V179" s="1">
        <v>0.99588410504880831</v>
      </c>
      <c r="W179" s="1">
        <v>1.405623295677618E-3</v>
      </c>
      <c r="X179">
        <v>5</v>
      </c>
      <c r="Y179" s="1">
        <v>0.50000000000000011</v>
      </c>
    </row>
    <row r="180" spans="1:25">
      <c r="B180" t="str">
        <f t="shared" si="4"/>
        <v>P</v>
      </c>
      <c r="C180" t="s">
        <v>85</v>
      </c>
      <c r="D180" t="str">
        <f t="shared" si="5"/>
        <v>P-风格利润兑现</v>
      </c>
      <c r="E180" t="s">
        <v>630</v>
      </c>
      <c r="F180" t="s">
        <v>628</v>
      </c>
      <c r="G180" t="s">
        <v>631</v>
      </c>
      <c r="H180">
        <v>0</v>
      </c>
      <c r="I180">
        <v>1</v>
      </c>
      <c r="J180">
        <v>0.5</v>
      </c>
      <c r="K180">
        <v>0.5</v>
      </c>
      <c r="L180">
        <v>2</v>
      </c>
      <c r="M180" t="b">
        <v>1</v>
      </c>
      <c r="N180" t="b">
        <v>1</v>
      </c>
      <c r="O180" t="b">
        <v>0</v>
      </c>
      <c r="P180" t="b">
        <v>0</v>
      </c>
      <c r="Q180" t="b">
        <v>1</v>
      </c>
      <c r="R180" t="b">
        <v>0</v>
      </c>
      <c r="S180" t="b">
        <v>1</v>
      </c>
      <c r="T180">
        <v>4</v>
      </c>
      <c r="U180" s="1">
        <v>0.52417804109238664</v>
      </c>
      <c r="V180" s="1">
        <v>0.95669844351560729</v>
      </c>
      <c r="W180" s="1">
        <v>6.258844132987901E-4</v>
      </c>
      <c r="X180">
        <v>6</v>
      </c>
      <c r="Y180" s="1">
        <v>0.51979166666666665</v>
      </c>
    </row>
    <row r="181" spans="1:25">
      <c r="B181" t="str">
        <f t="shared" si="4"/>
        <v>P</v>
      </c>
      <c r="C181" s="6" t="s">
        <v>85</v>
      </c>
      <c r="D181" t="str">
        <f t="shared" si="5"/>
        <v>P-风格利润兑现</v>
      </c>
      <c r="E181" t="s">
        <v>632</v>
      </c>
      <c r="F181" t="s">
        <v>633</v>
      </c>
      <c r="G181" t="s">
        <v>634</v>
      </c>
      <c r="H181">
        <v>0</v>
      </c>
      <c r="I181">
        <v>0</v>
      </c>
      <c r="J181">
        <v>0</v>
      </c>
      <c r="K181">
        <v>0.5</v>
      </c>
      <c r="L181">
        <v>0.5</v>
      </c>
      <c r="M181" t="b">
        <v>1</v>
      </c>
      <c r="N181" t="b">
        <v>1</v>
      </c>
      <c r="O181" t="b">
        <v>0</v>
      </c>
      <c r="P181" t="b">
        <v>0</v>
      </c>
      <c r="Q181" t="b">
        <v>1</v>
      </c>
      <c r="R181" t="b">
        <v>0</v>
      </c>
      <c r="S181" t="b">
        <v>1</v>
      </c>
      <c r="T181">
        <v>4</v>
      </c>
      <c r="U181" s="1">
        <v>0.52159734232043953</v>
      </c>
      <c r="V181" s="1">
        <v>0.99531247968714109</v>
      </c>
      <c r="W181" s="1">
        <v>9.904557529464013E-4</v>
      </c>
      <c r="X181">
        <v>4.5</v>
      </c>
      <c r="Y181" s="1">
        <v>0.52083333333333337</v>
      </c>
    </row>
    <row r="182" spans="1:25">
      <c r="B182" t="str">
        <f t="shared" si="4"/>
        <v>P</v>
      </c>
      <c r="C182" s="6" t="s">
        <v>85</v>
      </c>
      <c r="D182" t="str">
        <f t="shared" si="5"/>
        <v>P-风格利润兑现</v>
      </c>
      <c r="E182" t="s">
        <v>635</v>
      </c>
      <c r="F182" t="s">
        <v>636</v>
      </c>
      <c r="G182" t="s">
        <v>637</v>
      </c>
      <c r="H182">
        <v>1</v>
      </c>
      <c r="I182">
        <v>0</v>
      </c>
      <c r="J182">
        <v>0</v>
      </c>
      <c r="K182">
        <v>0</v>
      </c>
      <c r="L182">
        <v>1</v>
      </c>
      <c r="M182" t="b">
        <v>0</v>
      </c>
      <c r="N182" t="b">
        <v>1</v>
      </c>
      <c r="O182" t="b">
        <v>0</v>
      </c>
      <c r="P182" t="b">
        <v>0</v>
      </c>
      <c r="Q182" t="b">
        <v>1</v>
      </c>
      <c r="R182" t="b">
        <v>1</v>
      </c>
      <c r="S182" t="b">
        <v>1</v>
      </c>
      <c r="T182">
        <v>4</v>
      </c>
      <c r="U182" s="1">
        <v>0.52206441012623039</v>
      </c>
      <c r="V182" s="1">
        <v>1.0099011503521751</v>
      </c>
      <c r="W182" s="1">
        <v>1.187840267645432E-3</v>
      </c>
      <c r="X182">
        <v>5</v>
      </c>
      <c r="Y182" s="1">
        <v>0.51041666666666663</v>
      </c>
    </row>
    <row r="183" spans="1:25">
      <c r="B183" t="str">
        <f t="shared" si="4"/>
        <v>P</v>
      </c>
      <c r="C183" s="6" t="s">
        <v>85</v>
      </c>
      <c r="D183" t="str">
        <f t="shared" si="5"/>
        <v>P-风格利润兑现</v>
      </c>
      <c r="E183" t="s">
        <v>638</v>
      </c>
      <c r="F183" t="s">
        <v>636</v>
      </c>
      <c r="G183" t="s">
        <v>639</v>
      </c>
      <c r="H183">
        <v>0</v>
      </c>
      <c r="I183">
        <v>1</v>
      </c>
      <c r="J183">
        <v>0</v>
      </c>
      <c r="K183">
        <v>0</v>
      </c>
      <c r="L183">
        <v>1</v>
      </c>
      <c r="M183" t="b">
        <v>0</v>
      </c>
      <c r="N183" t="b">
        <v>1</v>
      </c>
      <c r="O183" t="b">
        <v>0</v>
      </c>
      <c r="P183" t="b">
        <v>0</v>
      </c>
      <c r="Q183" t="b">
        <v>1</v>
      </c>
      <c r="R183" t="b">
        <v>1</v>
      </c>
      <c r="S183" t="b">
        <v>1</v>
      </c>
      <c r="T183">
        <v>4</v>
      </c>
      <c r="U183" s="1">
        <v>0.52461308511352844</v>
      </c>
      <c r="V183" s="1">
        <v>1.0029975649234131</v>
      </c>
      <c r="W183" s="1">
        <v>1.196122330672618E-3</v>
      </c>
      <c r="X183">
        <v>5</v>
      </c>
      <c r="Y183" s="1">
        <v>0.52604166666666663</v>
      </c>
    </row>
    <row r="184" spans="1:25">
      <c r="B184" t="str">
        <f t="shared" si="4"/>
        <v>P</v>
      </c>
      <c r="C184" s="6" t="s">
        <v>85</v>
      </c>
      <c r="D184" t="str">
        <f t="shared" si="5"/>
        <v>P-风格利润兑现</v>
      </c>
      <c r="E184" t="s">
        <v>640</v>
      </c>
      <c r="F184" t="s">
        <v>636</v>
      </c>
      <c r="G184" t="s">
        <v>641</v>
      </c>
      <c r="H184">
        <v>0</v>
      </c>
      <c r="I184">
        <v>0</v>
      </c>
      <c r="J184">
        <v>0</v>
      </c>
      <c r="K184">
        <v>0.5</v>
      </c>
      <c r="L184">
        <v>0.5</v>
      </c>
      <c r="M184" t="b">
        <v>0</v>
      </c>
      <c r="N184" t="b">
        <v>1</v>
      </c>
      <c r="O184" t="b">
        <v>0</v>
      </c>
      <c r="P184" t="b">
        <v>0</v>
      </c>
      <c r="Q184" t="b">
        <v>1</v>
      </c>
      <c r="R184" t="b">
        <v>0</v>
      </c>
      <c r="S184" t="b">
        <v>1</v>
      </c>
      <c r="T184">
        <v>3</v>
      </c>
      <c r="U184" s="1">
        <v>0.52492897867118171</v>
      </c>
      <c r="V184" s="1">
        <v>0.99877892675692903</v>
      </c>
      <c r="W184" s="1">
        <v>1.1963909677780451E-3</v>
      </c>
      <c r="X184">
        <v>3.5</v>
      </c>
      <c r="Y184" s="1">
        <v>0.50208333333333344</v>
      </c>
    </row>
    <row r="185" spans="1:25">
      <c r="B185" t="str">
        <f t="shared" si="4"/>
        <v>P</v>
      </c>
      <c r="C185" s="6" t="s">
        <v>85</v>
      </c>
      <c r="D185" t="str">
        <f t="shared" si="5"/>
        <v>P-风格利润兑现</v>
      </c>
      <c r="E185" t="s">
        <v>642</v>
      </c>
      <c r="F185" t="s">
        <v>643</v>
      </c>
      <c r="G185" t="s">
        <v>644</v>
      </c>
      <c r="H185">
        <v>0</v>
      </c>
      <c r="I185">
        <v>1</v>
      </c>
      <c r="J185">
        <v>0</v>
      </c>
      <c r="K185">
        <v>0</v>
      </c>
      <c r="L185">
        <v>1</v>
      </c>
      <c r="M185" t="b">
        <v>1</v>
      </c>
      <c r="N185" t="b">
        <v>1</v>
      </c>
      <c r="O185" t="b">
        <v>0</v>
      </c>
      <c r="P185" t="b">
        <v>0</v>
      </c>
      <c r="Q185" t="b">
        <v>1</v>
      </c>
      <c r="R185" t="b">
        <v>0</v>
      </c>
      <c r="S185" t="b">
        <v>1</v>
      </c>
      <c r="T185">
        <v>4</v>
      </c>
      <c r="U185" s="1">
        <v>0.53192726820442837</v>
      </c>
      <c r="V185" s="1">
        <v>0.98732091935278243</v>
      </c>
      <c r="W185" s="1">
        <v>1.3019366918390169E-3</v>
      </c>
      <c r="X185">
        <v>5</v>
      </c>
      <c r="Y185" s="1">
        <v>0.52604166666666663</v>
      </c>
    </row>
    <row r="186" spans="1:25">
      <c r="B186" t="str">
        <f t="shared" si="4"/>
        <v>P</v>
      </c>
      <c r="C186" s="6" t="s">
        <v>85</v>
      </c>
      <c r="D186" t="str">
        <f t="shared" si="5"/>
        <v>P-风格利润兑现</v>
      </c>
      <c r="E186" t="s">
        <v>645</v>
      </c>
      <c r="F186" t="s">
        <v>646</v>
      </c>
      <c r="G186" t="s">
        <v>647</v>
      </c>
      <c r="H186">
        <v>0</v>
      </c>
      <c r="I186">
        <v>0</v>
      </c>
      <c r="J186">
        <v>0</v>
      </c>
      <c r="K186">
        <v>0</v>
      </c>
      <c r="L186">
        <v>0</v>
      </c>
      <c r="M186" t="b">
        <v>1</v>
      </c>
      <c r="N186" t="b">
        <v>1</v>
      </c>
      <c r="O186" t="b">
        <v>0</v>
      </c>
      <c r="P186" t="b">
        <v>0</v>
      </c>
      <c r="Q186" t="b">
        <v>1</v>
      </c>
      <c r="R186" t="b">
        <v>1</v>
      </c>
      <c r="S186" t="b">
        <v>1</v>
      </c>
      <c r="T186">
        <v>5</v>
      </c>
      <c r="U186" s="1">
        <v>0.52410301880902477</v>
      </c>
      <c r="V186" s="1">
        <v>1.007674053945774</v>
      </c>
      <c r="W186" s="1">
        <v>1.2317947123328731E-3</v>
      </c>
      <c r="X186">
        <v>5</v>
      </c>
      <c r="Y186" s="1">
        <v>0.50208333333333344</v>
      </c>
    </row>
    <row r="187" spans="1:25">
      <c r="B187" t="str">
        <f t="shared" si="4"/>
        <v>P</v>
      </c>
      <c r="C187" t="s">
        <v>85</v>
      </c>
      <c r="D187" t="str">
        <f t="shared" si="5"/>
        <v>P-风格利润兑现</v>
      </c>
      <c r="E187" t="s">
        <v>648</v>
      </c>
      <c r="F187" t="s">
        <v>649</v>
      </c>
      <c r="G187" t="s">
        <v>650</v>
      </c>
      <c r="H187">
        <v>1</v>
      </c>
      <c r="I187">
        <v>0</v>
      </c>
      <c r="J187">
        <v>0</v>
      </c>
      <c r="K187">
        <v>0</v>
      </c>
      <c r="L187">
        <v>1</v>
      </c>
      <c r="M187" t="b">
        <v>1</v>
      </c>
      <c r="N187" t="b">
        <v>1</v>
      </c>
      <c r="O187" t="b">
        <v>0</v>
      </c>
      <c r="P187" t="b">
        <v>0</v>
      </c>
      <c r="Q187" t="b">
        <v>0</v>
      </c>
      <c r="R187" t="b">
        <v>0</v>
      </c>
      <c r="S187" t="b">
        <v>1</v>
      </c>
      <c r="T187">
        <v>3</v>
      </c>
      <c r="U187" s="1">
        <v>0.51799356611681424</v>
      </c>
      <c r="V187" s="1">
        <v>0.99391715411884685</v>
      </c>
      <c r="W187" s="1">
        <v>7.6594956015923197E-4</v>
      </c>
      <c r="X187">
        <v>4</v>
      </c>
      <c r="Y187" s="1">
        <v>0.48958333333333343</v>
      </c>
    </row>
    <row r="188" spans="1:25">
      <c r="B188" t="str">
        <f t="shared" si="4"/>
        <v>P</v>
      </c>
      <c r="C188" t="s">
        <v>85</v>
      </c>
      <c r="D188" t="str">
        <f t="shared" si="5"/>
        <v>P-风格利润兑现</v>
      </c>
      <c r="E188" t="s">
        <v>651</v>
      </c>
      <c r="F188" t="s">
        <v>652</v>
      </c>
      <c r="G188" t="s">
        <v>653</v>
      </c>
      <c r="H188">
        <v>0</v>
      </c>
      <c r="I188">
        <v>0</v>
      </c>
      <c r="J188">
        <v>0.5</v>
      </c>
      <c r="K188">
        <v>0.5</v>
      </c>
      <c r="L188">
        <v>1</v>
      </c>
      <c r="M188" t="b">
        <v>1</v>
      </c>
      <c r="N188" t="b">
        <v>1</v>
      </c>
      <c r="O188" t="b">
        <v>0</v>
      </c>
      <c r="P188" t="b">
        <v>0</v>
      </c>
      <c r="Q188" t="b">
        <v>1</v>
      </c>
      <c r="R188" t="b">
        <v>0</v>
      </c>
      <c r="S188" t="b">
        <v>1</v>
      </c>
      <c r="T188">
        <v>4</v>
      </c>
      <c r="U188" s="1">
        <v>0.53649068173380776</v>
      </c>
      <c r="V188" s="1">
        <v>0.97347207805925362</v>
      </c>
      <c r="W188" s="1">
        <v>1.348494774002355E-3</v>
      </c>
      <c r="X188">
        <v>5</v>
      </c>
      <c r="Y188" s="1">
        <v>0.5083333333333333</v>
      </c>
    </row>
    <row r="189" spans="1:25">
      <c r="B189" t="str">
        <f t="shared" si="4"/>
        <v>P</v>
      </c>
      <c r="C189" t="s">
        <v>88</v>
      </c>
      <c r="D189" t="str">
        <f t="shared" si="5"/>
        <v>P-风格利润预期</v>
      </c>
      <c r="E189" t="s">
        <v>654</v>
      </c>
      <c r="F189" t="s">
        <v>262</v>
      </c>
      <c r="G189" t="s">
        <v>655</v>
      </c>
      <c r="H189">
        <v>0</v>
      </c>
      <c r="I189">
        <v>0</v>
      </c>
      <c r="J189">
        <v>0</v>
      </c>
      <c r="K189">
        <v>0.5</v>
      </c>
      <c r="L189">
        <v>0.5</v>
      </c>
      <c r="M189" t="b">
        <v>1</v>
      </c>
      <c r="N189" t="b">
        <v>1</v>
      </c>
      <c r="O189" t="b">
        <v>0</v>
      </c>
      <c r="P189" t="b">
        <v>0</v>
      </c>
      <c r="Q189" t="b">
        <v>1</v>
      </c>
      <c r="R189" t="b">
        <v>1</v>
      </c>
      <c r="S189" t="b">
        <v>1</v>
      </c>
      <c r="T189">
        <v>5</v>
      </c>
      <c r="U189" s="1">
        <v>0.52522034495994618</v>
      </c>
      <c r="V189" s="1">
        <v>1.0093967361955649</v>
      </c>
      <c r="W189" s="1">
        <v>1.3337370736649359E-3</v>
      </c>
      <c r="X189">
        <v>5.5</v>
      </c>
      <c r="Y189" s="1">
        <v>0.4958333333333334</v>
      </c>
    </row>
    <row r="190" spans="1:25">
      <c r="B190" t="str">
        <f t="shared" si="4"/>
        <v>P</v>
      </c>
      <c r="C190" t="s">
        <v>88</v>
      </c>
      <c r="D190" t="str">
        <f t="shared" si="5"/>
        <v>P-风格利润预期</v>
      </c>
      <c r="E190" t="s">
        <v>656</v>
      </c>
      <c r="F190" t="s">
        <v>262</v>
      </c>
      <c r="G190" t="s">
        <v>657</v>
      </c>
      <c r="H190">
        <v>0</v>
      </c>
      <c r="I190">
        <v>0</v>
      </c>
      <c r="J190">
        <v>0.5</v>
      </c>
      <c r="K190">
        <v>0.5</v>
      </c>
      <c r="L190">
        <v>1</v>
      </c>
      <c r="M190" t="b">
        <v>1</v>
      </c>
      <c r="N190" t="b">
        <v>1</v>
      </c>
      <c r="O190" t="b">
        <v>0</v>
      </c>
      <c r="P190" t="b">
        <v>0</v>
      </c>
      <c r="Q190" t="b">
        <v>0</v>
      </c>
      <c r="R190" t="b">
        <v>0</v>
      </c>
      <c r="S190" t="b">
        <v>1</v>
      </c>
      <c r="T190">
        <v>3</v>
      </c>
      <c r="U190" s="1">
        <v>0.51700168054019857</v>
      </c>
      <c r="V190" s="1">
        <v>0.98684150052088759</v>
      </c>
      <c r="W190" s="1">
        <v>6.5423546009293237E-4</v>
      </c>
      <c r="X190">
        <v>4</v>
      </c>
      <c r="Y190" s="1">
        <v>0.484375</v>
      </c>
    </row>
    <row r="191" spans="1:25">
      <c r="A191" s="6">
        <v>1</v>
      </c>
      <c r="B191" t="str">
        <f t="shared" si="4"/>
        <v>P</v>
      </c>
      <c r="C191" t="s">
        <v>90</v>
      </c>
      <c r="D191" t="str">
        <f t="shared" si="5"/>
        <v>P-利润分配结构</v>
      </c>
      <c r="E191" t="s">
        <v>658</v>
      </c>
      <c r="F191" t="s">
        <v>659</v>
      </c>
      <c r="G191" t="s">
        <v>660</v>
      </c>
      <c r="H191">
        <v>0</v>
      </c>
      <c r="I191">
        <v>1</v>
      </c>
      <c r="J191">
        <v>0.5</v>
      </c>
      <c r="K191">
        <v>0.5</v>
      </c>
      <c r="L191">
        <v>2</v>
      </c>
      <c r="M191" t="b">
        <v>1</v>
      </c>
      <c r="N191" t="b">
        <v>1</v>
      </c>
      <c r="O191" t="b">
        <v>0</v>
      </c>
      <c r="P191" t="b">
        <v>0</v>
      </c>
      <c r="Q191" t="b">
        <v>1</v>
      </c>
      <c r="R191" t="b">
        <v>1</v>
      </c>
      <c r="S191" t="b">
        <v>1</v>
      </c>
      <c r="T191">
        <v>5</v>
      </c>
      <c r="U191" s="1">
        <v>0.52926215131064347</v>
      </c>
      <c r="V191" s="1">
        <v>1.0031129248753019</v>
      </c>
      <c r="W191" s="1">
        <v>1.3857812832679479E-3</v>
      </c>
      <c r="X191">
        <v>7</v>
      </c>
      <c r="Y191" s="1">
        <v>0.50520833333333337</v>
      </c>
    </row>
    <row r="192" spans="1:25">
      <c r="B192" t="str">
        <f t="shared" si="4"/>
        <v>P</v>
      </c>
      <c r="C192" t="s">
        <v>90</v>
      </c>
      <c r="D192" t="str">
        <f t="shared" si="5"/>
        <v>P-利润分配结构</v>
      </c>
      <c r="E192" t="s">
        <v>661</v>
      </c>
      <c r="F192" t="s">
        <v>554</v>
      </c>
      <c r="G192" t="s">
        <v>662</v>
      </c>
      <c r="H192">
        <v>0</v>
      </c>
      <c r="I192">
        <v>1</v>
      </c>
      <c r="J192">
        <v>0.5</v>
      </c>
      <c r="K192">
        <v>0.5</v>
      </c>
      <c r="L192">
        <v>2</v>
      </c>
      <c r="M192" t="b">
        <v>0</v>
      </c>
      <c r="N192" t="b">
        <v>1</v>
      </c>
      <c r="O192" t="b">
        <v>1</v>
      </c>
      <c r="P192" t="b">
        <v>0</v>
      </c>
      <c r="Q192" t="b">
        <v>1</v>
      </c>
      <c r="R192" t="b">
        <v>1</v>
      </c>
      <c r="S192" t="b">
        <v>1</v>
      </c>
      <c r="T192">
        <v>5</v>
      </c>
      <c r="U192" s="1">
        <v>0.52386889230550437</v>
      </c>
      <c r="V192" s="1">
        <v>1.0296290349318431</v>
      </c>
      <c r="W192" s="1">
        <v>1.47542310169879E-3</v>
      </c>
      <c r="X192">
        <v>7</v>
      </c>
      <c r="Y192" s="1">
        <v>0.53541666666666665</v>
      </c>
    </row>
    <row r="193" spans="1:25">
      <c r="B193" t="str">
        <f t="shared" si="4"/>
        <v>P</v>
      </c>
      <c r="C193" t="s">
        <v>90</v>
      </c>
      <c r="D193" t="str">
        <f t="shared" si="5"/>
        <v>P-利润分配结构</v>
      </c>
      <c r="E193" t="s">
        <v>663</v>
      </c>
      <c r="F193" t="s">
        <v>664</v>
      </c>
      <c r="G193" t="s">
        <v>665</v>
      </c>
      <c r="H193">
        <v>0</v>
      </c>
      <c r="I193">
        <v>0</v>
      </c>
      <c r="J193">
        <v>0</v>
      </c>
      <c r="K193">
        <v>0</v>
      </c>
      <c r="L193">
        <v>0</v>
      </c>
      <c r="M193" t="b">
        <v>1</v>
      </c>
      <c r="N193" t="b">
        <v>1</v>
      </c>
      <c r="O193" t="b">
        <v>0</v>
      </c>
      <c r="P193" t="b">
        <v>0</v>
      </c>
      <c r="Q193" t="b">
        <v>1</v>
      </c>
      <c r="R193" t="b">
        <v>0</v>
      </c>
      <c r="S193" t="b">
        <v>1</v>
      </c>
      <c r="T193">
        <v>4</v>
      </c>
      <c r="U193" s="1">
        <v>0.52998718585682214</v>
      </c>
      <c r="V193" s="1">
        <v>0.98170498634127035</v>
      </c>
      <c r="W193" s="1">
        <v>1.1148931250265471E-3</v>
      </c>
      <c r="X193">
        <v>4</v>
      </c>
      <c r="Y193" s="1">
        <v>0.49687500000000001</v>
      </c>
    </row>
    <row r="194" spans="1:25">
      <c r="B194" t="str">
        <f t="shared" ref="B194:B257" si="6">LEFT(G194)</f>
        <v>P</v>
      </c>
      <c r="C194" t="s">
        <v>90</v>
      </c>
      <c r="D194" t="str">
        <f t="shared" ref="D194:D257" si="7">B194&amp;"-"&amp;C194</f>
        <v>P-利润分配结构</v>
      </c>
      <c r="E194" t="s">
        <v>666</v>
      </c>
      <c r="F194" t="s">
        <v>557</v>
      </c>
      <c r="G194" t="s">
        <v>667</v>
      </c>
      <c r="H194">
        <v>0</v>
      </c>
      <c r="I194">
        <v>0</v>
      </c>
      <c r="J194">
        <v>0</v>
      </c>
      <c r="K194">
        <v>0</v>
      </c>
      <c r="L194">
        <v>0</v>
      </c>
      <c r="M194" t="b">
        <v>0</v>
      </c>
      <c r="N194" t="b">
        <v>1</v>
      </c>
      <c r="O194" t="b">
        <v>0</v>
      </c>
      <c r="P194" t="b">
        <v>0</v>
      </c>
      <c r="Q194" t="b">
        <v>1</v>
      </c>
      <c r="R194" t="b">
        <v>0</v>
      </c>
      <c r="S194" t="b">
        <v>1</v>
      </c>
      <c r="T194">
        <v>3</v>
      </c>
      <c r="U194" s="1">
        <v>0.52395987095115859</v>
      </c>
      <c r="V194" s="1">
        <v>0.97069496041131609</v>
      </c>
      <c r="W194" s="1">
        <v>7.2918667638266553E-4</v>
      </c>
      <c r="X194">
        <v>3</v>
      </c>
      <c r="Y194" s="1">
        <v>0.48645833333333333</v>
      </c>
    </row>
    <row r="195" spans="1:25">
      <c r="B195" t="str">
        <f t="shared" si="6"/>
        <v>P</v>
      </c>
      <c r="C195" t="s">
        <v>90</v>
      </c>
      <c r="D195" t="str">
        <f t="shared" si="7"/>
        <v>P-利润分配结构</v>
      </c>
      <c r="E195" t="s">
        <v>668</v>
      </c>
      <c r="F195" t="s">
        <v>669</v>
      </c>
      <c r="G195" t="s">
        <v>670</v>
      </c>
      <c r="H195">
        <v>0</v>
      </c>
      <c r="I195">
        <v>0</v>
      </c>
      <c r="J195">
        <v>0</v>
      </c>
      <c r="K195">
        <v>0</v>
      </c>
      <c r="L195">
        <v>0</v>
      </c>
      <c r="M195" t="b">
        <v>1</v>
      </c>
      <c r="N195" t="b">
        <v>1</v>
      </c>
      <c r="O195" t="b">
        <v>0</v>
      </c>
      <c r="P195" t="b">
        <v>0</v>
      </c>
      <c r="Q195" t="b">
        <v>1</v>
      </c>
      <c r="R195" t="b">
        <v>0</v>
      </c>
      <c r="S195" t="b">
        <v>1</v>
      </c>
      <c r="T195">
        <v>4</v>
      </c>
      <c r="U195" s="1">
        <v>0.52414952850919061</v>
      </c>
      <c r="V195" s="1">
        <v>0.98019839546317333</v>
      </c>
      <c r="W195" s="1">
        <v>8.3602386683808978E-4</v>
      </c>
      <c r="X195">
        <v>4</v>
      </c>
      <c r="Y195" s="1">
        <v>0.5</v>
      </c>
    </row>
    <row r="196" spans="1:25">
      <c r="B196" t="str">
        <f t="shared" si="6"/>
        <v>P</v>
      </c>
      <c r="C196" t="s">
        <v>90</v>
      </c>
      <c r="D196" t="str">
        <f t="shared" si="7"/>
        <v>P-利润分配结构</v>
      </c>
      <c r="E196" t="s">
        <v>671</v>
      </c>
      <c r="F196" t="s">
        <v>229</v>
      </c>
      <c r="G196" t="s">
        <v>672</v>
      </c>
      <c r="H196">
        <v>0</v>
      </c>
      <c r="I196">
        <v>1</v>
      </c>
      <c r="J196">
        <v>0.5</v>
      </c>
      <c r="K196">
        <v>0.5</v>
      </c>
      <c r="L196">
        <v>2</v>
      </c>
      <c r="M196" t="b">
        <v>1</v>
      </c>
      <c r="N196" t="b">
        <v>1</v>
      </c>
      <c r="O196" t="b">
        <v>0</v>
      </c>
      <c r="P196" t="b">
        <v>0</v>
      </c>
      <c r="Q196" t="b">
        <v>1</v>
      </c>
      <c r="R196" t="b">
        <v>0</v>
      </c>
      <c r="S196" t="b">
        <v>1</v>
      </c>
      <c r="T196">
        <v>4</v>
      </c>
      <c r="U196" s="1">
        <v>0.52550765664565002</v>
      </c>
      <c r="V196" s="1">
        <v>0.95244894332461638</v>
      </c>
      <c r="W196" s="1">
        <v>6.0776897221685093E-4</v>
      </c>
      <c r="X196">
        <v>6</v>
      </c>
      <c r="Y196" s="1">
        <v>0.50208333333333333</v>
      </c>
    </row>
    <row r="197" spans="1:25">
      <c r="B197" t="str">
        <f t="shared" si="6"/>
        <v>P</v>
      </c>
      <c r="C197" t="s">
        <v>93</v>
      </c>
      <c r="D197" t="str">
        <f t="shared" si="7"/>
        <v>P-总量经济与利润</v>
      </c>
      <c r="E197" t="s">
        <v>673</v>
      </c>
      <c r="F197" t="s">
        <v>674</v>
      </c>
      <c r="G197" t="s">
        <v>675</v>
      </c>
      <c r="H197">
        <v>0</v>
      </c>
      <c r="I197">
        <v>1</v>
      </c>
      <c r="J197">
        <v>0</v>
      </c>
      <c r="K197">
        <v>0</v>
      </c>
      <c r="L197">
        <v>1</v>
      </c>
      <c r="M197" t="b">
        <v>0</v>
      </c>
      <c r="N197" t="b">
        <v>1</v>
      </c>
      <c r="O197" t="b">
        <v>0</v>
      </c>
      <c r="P197" t="b">
        <v>1</v>
      </c>
      <c r="Q197" t="b">
        <v>1</v>
      </c>
      <c r="R197" t="b">
        <v>1</v>
      </c>
      <c r="S197" t="b">
        <v>1</v>
      </c>
      <c r="T197">
        <v>5</v>
      </c>
      <c r="U197" s="1">
        <v>0.52191019330378607</v>
      </c>
      <c r="V197" s="1">
        <v>1.015749889031079</v>
      </c>
      <c r="W197" s="1">
        <v>1.0798576618403959E-3</v>
      </c>
      <c r="X197">
        <v>6</v>
      </c>
      <c r="Y197" s="1">
        <v>0.51145833333333335</v>
      </c>
    </row>
    <row r="198" spans="1:25">
      <c r="B198" t="str">
        <f t="shared" si="6"/>
        <v>P</v>
      </c>
      <c r="C198" t="s">
        <v>93</v>
      </c>
      <c r="D198" t="str">
        <f t="shared" si="7"/>
        <v>P-总量经济与利润</v>
      </c>
      <c r="E198" t="s">
        <v>676</v>
      </c>
      <c r="F198" t="s">
        <v>677</v>
      </c>
      <c r="G198" t="s">
        <v>678</v>
      </c>
      <c r="H198">
        <v>0</v>
      </c>
      <c r="I198">
        <v>1</v>
      </c>
      <c r="J198">
        <v>0.5</v>
      </c>
      <c r="K198">
        <v>0.5</v>
      </c>
      <c r="L198">
        <v>2</v>
      </c>
      <c r="M198" t="b">
        <v>1</v>
      </c>
      <c r="N198" t="b">
        <v>1</v>
      </c>
      <c r="O198" t="b">
        <v>0</v>
      </c>
      <c r="P198" t="b">
        <v>0</v>
      </c>
      <c r="Q198" t="b">
        <v>1</v>
      </c>
      <c r="R198" t="b">
        <v>1</v>
      </c>
      <c r="S198" t="b">
        <v>1</v>
      </c>
      <c r="T198">
        <v>5</v>
      </c>
      <c r="U198" s="1">
        <v>0.52754171190495414</v>
      </c>
      <c r="V198" s="1">
        <v>1.0010425329365391</v>
      </c>
      <c r="W198" s="1">
        <v>1.269338407691819E-3</v>
      </c>
      <c r="X198">
        <v>7</v>
      </c>
      <c r="Y198" s="1">
        <v>0.51458333333333328</v>
      </c>
    </row>
    <row r="199" spans="1:25">
      <c r="B199" t="str">
        <f t="shared" si="6"/>
        <v>P</v>
      </c>
      <c r="C199" t="s">
        <v>93</v>
      </c>
      <c r="D199" t="str">
        <f t="shared" si="7"/>
        <v>P-总量经济与利润</v>
      </c>
      <c r="E199" t="s">
        <v>679</v>
      </c>
      <c r="F199" t="s">
        <v>633</v>
      </c>
      <c r="G199" t="s">
        <v>680</v>
      </c>
      <c r="H199">
        <v>0</v>
      </c>
      <c r="I199">
        <v>1</v>
      </c>
      <c r="J199">
        <v>0.5</v>
      </c>
      <c r="K199">
        <v>0.5</v>
      </c>
      <c r="L199">
        <v>2</v>
      </c>
      <c r="M199" t="b">
        <v>1</v>
      </c>
      <c r="N199" t="b">
        <v>1</v>
      </c>
      <c r="O199" t="b">
        <v>0</v>
      </c>
      <c r="P199" t="b">
        <v>0</v>
      </c>
      <c r="Q199" t="b">
        <v>0</v>
      </c>
      <c r="R199" t="b">
        <v>0</v>
      </c>
      <c r="S199" t="b">
        <v>1</v>
      </c>
      <c r="T199">
        <v>3</v>
      </c>
      <c r="U199" s="1">
        <v>0.51725883825740482</v>
      </c>
      <c r="V199" s="1">
        <v>0.99924519003662193</v>
      </c>
      <c r="W199" s="1">
        <v>7.8256483545790655E-4</v>
      </c>
      <c r="X199">
        <v>5</v>
      </c>
      <c r="Y199" s="1">
        <v>0.484375</v>
      </c>
    </row>
    <row r="200" spans="1:25">
      <c r="B200" t="str">
        <f t="shared" si="6"/>
        <v>P</v>
      </c>
      <c r="C200" t="s">
        <v>93</v>
      </c>
      <c r="D200" t="str">
        <f t="shared" si="7"/>
        <v>P-总量经济与利润</v>
      </c>
      <c r="E200" t="s">
        <v>681</v>
      </c>
      <c r="F200" t="s">
        <v>682</v>
      </c>
      <c r="G200" t="s">
        <v>683</v>
      </c>
      <c r="H200">
        <v>0</v>
      </c>
      <c r="I200">
        <v>1</v>
      </c>
      <c r="J200">
        <v>0.5</v>
      </c>
      <c r="K200">
        <v>0.5</v>
      </c>
      <c r="L200">
        <v>2</v>
      </c>
      <c r="M200" t="b">
        <v>1</v>
      </c>
      <c r="N200" t="b">
        <v>1</v>
      </c>
      <c r="O200" t="b">
        <v>0</v>
      </c>
      <c r="P200" t="b">
        <v>0</v>
      </c>
      <c r="Q200" t="b">
        <v>1</v>
      </c>
      <c r="R200" t="b">
        <v>1</v>
      </c>
      <c r="S200" t="b">
        <v>1</v>
      </c>
      <c r="T200">
        <v>5</v>
      </c>
      <c r="U200" s="1">
        <v>0.52784296567203393</v>
      </c>
      <c r="V200" s="1">
        <v>1.002415138868219</v>
      </c>
      <c r="W200" s="1">
        <v>1.3239727311238881E-3</v>
      </c>
      <c r="X200">
        <v>7</v>
      </c>
      <c r="Y200" s="1">
        <v>0.53125</v>
      </c>
    </row>
    <row r="201" spans="1:25">
      <c r="B201" t="str">
        <f t="shared" si="6"/>
        <v>P</v>
      </c>
      <c r="C201" t="s">
        <v>93</v>
      </c>
      <c r="D201" t="str">
        <f t="shared" si="7"/>
        <v>P-总量经济与利润</v>
      </c>
      <c r="E201" t="s">
        <v>684</v>
      </c>
      <c r="F201" t="s">
        <v>685</v>
      </c>
      <c r="G201" t="s">
        <v>686</v>
      </c>
      <c r="H201">
        <v>0</v>
      </c>
      <c r="I201">
        <v>0</v>
      </c>
      <c r="J201">
        <v>0</v>
      </c>
      <c r="K201">
        <v>0.5</v>
      </c>
      <c r="L201">
        <v>0.5</v>
      </c>
      <c r="M201" t="b">
        <v>1</v>
      </c>
      <c r="N201" t="b">
        <v>1</v>
      </c>
      <c r="O201" t="b">
        <v>1</v>
      </c>
      <c r="P201" t="b">
        <v>0</v>
      </c>
      <c r="Q201" t="b">
        <v>1</v>
      </c>
      <c r="R201" t="b">
        <v>1</v>
      </c>
      <c r="S201" t="b">
        <v>1</v>
      </c>
      <c r="T201">
        <v>6</v>
      </c>
      <c r="U201" s="1">
        <v>0.52910913087019495</v>
      </c>
      <c r="V201" s="1">
        <v>1.0261561476990699</v>
      </c>
      <c r="W201" s="1">
        <v>1.6118717669019499E-3</v>
      </c>
      <c r="X201">
        <v>6.5</v>
      </c>
      <c r="Y201" s="1">
        <v>0.51041666666666663</v>
      </c>
    </row>
    <row r="202" spans="1:25">
      <c r="B202" t="str">
        <f t="shared" si="6"/>
        <v>P</v>
      </c>
      <c r="C202" t="s">
        <v>93</v>
      </c>
      <c r="D202" t="str">
        <f t="shared" si="7"/>
        <v>P-总量经济与利润</v>
      </c>
      <c r="E202" t="s">
        <v>687</v>
      </c>
      <c r="F202" t="s">
        <v>688</v>
      </c>
      <c r="G202" t="s">
        <v>689</v>
      </c>
      <c r="H202">
        <v>0</v>
      </c>
      <c r="I202">
        <v>1</v>
      </c>
      <c r="J202">
        <v>0</v>
      </c>
      <c r="K202">
        <v>0</v>
      </c>
      <c r="L202">
        <v>1</v>
      </c>
      <c r="M202" t="b">
        <v>1</v>
      </c>
      <c r="N202" t="b">
        <v>1</v>
      </c>
      <c r="O202" t="b">
        <v>0</v>
      </c>
      <c r="P202" t="b">
        <v>0</v>
      </c>
      <c r="Q202" t="b">
        <v>1</v>
      </c>
      <c r="R202" t="b">
        <v>0</v>
      </c>
      <c r="S202" t="b">
        <v>1</v>
      </c>
      <c r="T202">
        <v>4</v>
      </c>
      <c r="U202" s="1">
        <v>0.53299412513245348</v>
      </c>
      <c r="V202" s="1">
        <v>0.99445692572989375</v>
      </c>
      <c r="W202" s="1">
        <v>1.4206215654885049E-3</v>
      </c>
      <c r="X202">
        <v>5</v>
      </c>
      <c r="Y202" s="1">
        <v>0.55104166666666665</v>
      </c>
    </row>
    <row r="203" spans="1:25">
      <c r="B203" t="str">
        <f t="shared" si="6"/>
        <v>P</v>
      </c>
      <c r="C203" t="s">
        <v>93</v>
      </c>
      <c r="D203" t="str">
        <f t="shared" si="7"/>
        <v>P-总量经济与利润</v>
      </c>
      <c r="E203" t="s">
        <v>690</v>
      </c>
      <c r="F203" t="s">
        <v>691</v>
      </c>
      <c r="G203" t="s">
        <v>692</v>
      </c>
      <c r="H203">
        <v>0</v>
      </c>
      <c r="I203">
        <v>1</v>
      </c>
      <c r="J203">
        <v>0.5</v>
      </c>
      <c r="K203">
        <v>0</v>
      </c>
      <c r="L203">
        <v>1.5</v>
      </c>
      <c r="M203" t="b">
        <v>0</v>
      </c>
      <c r="N203" t="b">
        <v>1</v>
      </c>
      <c r="O203" t="b">
        <v>0</v>
      </c>
      <c r="P203" t="b">
        <v>0</v>
      </c>
      <c r="Q203" t="b">
        <v>0</v>
      </c>
      <c r="R203" t="b">
        <v>1</v>
      </c>
      <c r="S203" t="b">
        <v>1</v>
      </c>
      <c r="T203">
        <v>3</v>
      </c>
      <c r="U203" s="1">
        <v>0.519288351242982</v>
      </c>
      <c r="V203" s="1">
        <v>1.002014745934892</v>
      </c>
      <c r="W203" s="1">
        <v>9.7768636696396287E-4</v>
      </c>
      <c r="X203">
        <v>4.5</v>
      </c>
      <c r="Y203" s="1">
        <v>0.50520833333333337</v>
      </c>
    </row>
    <row r="204" spans="1:25">
      <c r="A204" s="7"/>
      <c r="B204" s="2" t="str">
        <f t="shared" si="6"/>
        <v>P</v>
      </c>
      <c r="C204" s="2" t="s">
        <v>93</v>
      </c>
      <c r="D204" s="2" t="str">
        <f t="shared" si="7"/>
        <v>P-总量经济与利润</v>
      </c>
      <c r="E204" s="2" t="s">
        <v>693</v>
      </c>
      <c r="F204" s="2" t="s">
        <v>633</v>
      </c>
      <c r="G204" s="2" t="s">
        <v>694</v>
      </c>
      <c r="H204" s="2">
        <v>0</v>
      </c>
      <c r="I204" s="2">
        <v>0</v>
      </c>
      <c r="J204" s="2">
        <v>0</v>
      </c>
      <c r="K204" s="2">
        <v>0</v>
      </c>
      <c r="L204" s="2">
        <v>0</v>
      </c>
      <c r="M204" s="2" t="b">
        <v>1</v>
      </c>
      <c r="N204" s="2" t="b">
        <v>1</v>
      </c>
      <c r="O204" s="2" t="b">
        <v>0</v>
      </c>
      <c r="P204" s="2" t="b">
        <v>0</v>
      </c>
      <c r="Q204" s="2" t="b">
        <v>1</v>
      </c>
      <c r="R204" s="2" t="b">
        <v>0</v>
      </c>
      <c r="S204" s="2" t="b">
        <v>1</v>
      </c>
      <c r="T204" s="2">
        <v>4</v>
      </c>
      <c r="U204" s="3">
        <v>0.52168642423911238</v>
      </c>
      <c r="V204" s="3">
        <v>0.99856242526028183</v>
      </c>
      <c r="W204" s="3">
        <v>9.2352036836599173E-4</v>
      </c>
      <c r="X204" s="2">
        <v>4</v>
      </c>
      <c r="Y204" s="3">
        <v>0.484375</v>
      </c>
    </row>
    <row r="205" spans="1:25">
      <c r="B205" t="str">
        <f t="shared" si="6"/>
        <v>V</v>
      </c>
      <c r="D205" t="str">
        <f t="shared" si="7"/>
        <v>V-</v>
      </c>
      <c r="F205">
        <v>0</v>
      </c>
      <c r="G205" t="s">
        <v>695</v>
      </c>
      <c r="H205">
        <v>1</v>
      </c>
      <c r="I205">
        <v>0</v>
      </c>
      <c r="J205">
        <v>0</v>
      </c>
      <c r="K205">
        <v>0</v>
      </c>
      <c r="L205">
        <v>1</v>
      </c>
      <c r="M205" t="b">
        <v>1</v>
      </c>
      <c r="N205" t="b">
        <v>1</v>
      </c>
      <c r="O205" t="b">
        <v>0</v>
      </c>
      <c r="P205" t="b">
        <v>0</v>
      </c>
      <c r="Q205" t="b">
        <v>0</v>
      </c>
      <c r="R205" t="b">
        <v>0</v>
      </c>
      <c r="S205" t="b">
        <v>1</v>
      </c>
      <c r="T205">
        <v>3</v>
      </c>
      <c r="U205" s="1">
        <v>0.51620978258611594</v>
      </c>
      <c r="V205" s="1">
        <v>0.98307734987816764</v>
      </c>
      <c r="W205" s="1">
        <v>5.6246818723903016E-4</v>
      </c>
      <c r="X205">
        <v>4</v>
      </c>
      <c r="Y205" s="1">
        <v>0.48749999999999999</v>
      </c>
    </row>
    <row r="206" spans="1:25">
      <c r="B206" t="str">
        <f t="shared" si="6"/>
        <v>V</v>
      </c>
      <c r="C206" t="s">
        <v>97</v>
      </c>
      <c r="D206" t="str">
        <f t="shared" si="7"/>
        <v>V-日历效应</v>
      </c>
      <c r="E206" t="s">
        <v>696</v>
      </c>
      <c r="F206" t="s">
        <v>697</v>
      </c>
      <c r="G206" t="s">
        <v>698</v>
      </c>
      <c r="H206">
        <v>0</v>
      </c>
      <c r="I206">
        <v>1</v>
      </c>
      <c r="J206">
        <v>0</v>
      </c>
      <c r="K206">
        <v>0</v>
      </c>
      <c r="L206">
        <v>1</v>
      </c>
      <c r="M206" t="b">
        <v>1</v>
      </c>
      <c r="N206" t="b">
        <v>1</v>
      </c>
      <c r="O206" t="b">
        <v>0</v>
      </c>
      <c r="P206" t="b">
        <v>0</v>
      </c>
      <c r="Q206" t="b">
        <v>1</v>
      </c>
      <c r="R206" t="b">
        <v>0</v>
      </c>
      <c r="S206" t="b">
        <v>1</v>
      </c>
      <c r="T206">
        <v>4</v>
      </c>
      <c r="U206" s="1">
        <v>0.52059105343002421</v>
      </c>
      <c r="V206" s="1">
        <v>0.9689511491970173</v>
      </c>
      <c r="W206" s="1">
        <v>5.7226908551427332E-4</v>
      </c>
      <c r="X206">
        <v>5</v>
      </c>
      <c r="Y206" s="1">
        <v>0.48749999999999999</v>
      </c>
    </row>
    <row r="207" spans="1:25">
      <c r="A207" s="6" t="s">
        <v>699</v>
      </c>
      <c r="B207" t="str">
        <f t="shared" si="6"/>
        <v>V</v>
      </c>
      <c r="C207" t="s">
        <v>97</v>
      </c>
      <c r="D207" t="str">
        <f t="shared" si="7"/>
        <v>V-日历效应</v>
      </c>
      <c r="E207" t="s">
        <v>700</v>
      </c>
      <c r="F207" t="s">
        <v>701</v>
      </c>
      <c r="G207" t="s">
        <v>702</v>
      </c>
      <c r="H207">
        <v>0</v>
      </c>
      <c r="I207">
        <v>0</v>
      </c>
      <c r="J207">
        <v>0</v>
      </c>
      <c r="K207">
        <v>0.5</v>
      </c>
      <c r="L207">
        <v>0.5</v>
      </c>
      <c r="M207" t="b">
        <v>0</v>
      </c>
      <c r="N207" t="b">
        <v>1</v>
      </c>
      <c r="O207" t="b">
        <v>0</v>
      </c>
      <c r="P207" t="b">
        <v>1</v>
      </c>
      <c r="Q207" t="b">
        <v>1</v>
      </c>
      <c r="R207" t="b">
        <v>1</v>
      </c>
      <c r="S207" t="b">
        <v>1</v>
      </c>
      <c r="T207">
        <v>5</v>
      </c>
      <c r="U207" s="1">
        <v>0.52368767360141588</v>
      </c>
      <c r="V207" s="1">
        <v>1.0203363293428691</v>
      </c>
      <c r="W207" s="1">
        <v>1.1989738889154669E-3</v>
      </c>
      <c r="X207">
        <v>5.5</v>
      </c>
      <c r="Y207" s="1">
        <v>0.51041666666666663</v>
      </c>
    </row>
    <row r="208" spans="1:25">
      <c r="B208" t="str">
        <f t="shared" si="6"/>
        <v>V</v>
      </c>
      <c r="C208" t="s">
        <v>97</v>
      </c>
      <c r="D208" t="str">
        <f t="shared" si="7"/>
        <v>V-日历效应</v>
      </c>
      <c r="E208" t="s">
        <v>703</v>
      </c>
      <c r="F208" t="s">
        <v>704</v>
      </c>
      <c r="G208" t="s">
        <v>705</v>
      </c>
      <c r="H208">
        <v>0</v>
      </c>
      <c r="I208">
        <v>1</v>
      </c>
      <c r="J208">
        <v>0.5</v>
      </c>
      <c r="K208">
        <v>0</v>
      </c>
      <c r="L208">
        <v>1.5</v>
      </c>
      <c r="M208" t="b">
        <v>0</v>
      </c>
      <c r="N208" t="b">
        <v>1</v>
      </c>
      <c r="O208" t="b">
        <v>0</v>
      </c>
      <c r="P208" t="b">
        <v>1</v>
      </c>
      <c r="Q208" t="b">
        <v>1</v>
      </c>
      <c r="R208" t="b">
        <v>1</v>
      </c>
      <c r="S208" t="b">
        <v>1</v>
      </c>
      <c r="T208">
        <v>5</v>
      </c>
      <c r="U208" s="1">
        <v>0.52523319472168317</v>
      </c>
      <c r="V208" s="1">
        <v>1.01845600486614</v>
      </c>
      <c r="W208" s="1">
        <v>1.249865796525015E-3</v>
      </c>
      <c r="X208">
        <v>6.5</v>
      </c>
      <c r="Y208" s="1">
        <v>0.51041666666666663</v>
      </c>
    </row>
    <row r="209" spans="2:25">
      <c r="B209" t="str">
        <f t="shared" si="6"/>
        <v>V</v>
      </c>
      <c r="C209" t="s">
        <v>101</v>
      </c>
      <c r="D209" t="str">
        <f t="shared" si="7"/>
        <v>V-市场趋势一致性</v>
      </c>
      <c r="E209" t="s">
        <v>706</v>
      </c>
      <c r="F209" t="s">
        <v>707</v>
      </c>
      <c r="G209" t="s">
        <v>708</v>
      </c>
      <c r="H209">
        <v>0</v>
      </c>
      <c r="I209">
        <v>1</v>
      </c>
      <c r="J209">
        <v>0.5</v>
      </c>
      <c r="K209">
        <v>0.5</v>
      </c>
      <c r="L209">
        <v>2</v>
      </c>
      <c r="M209" t="b">
        <v>1</v>
      </c>
      <c r="N209" t="b">
        <v>0</v>
      </c>
      <c r="O209" t="b">
        <v>0</v>
      </c>
      <c r="P209" t="b">
        <v>0</v>
      </c>
      <c r="Q209" t="b">
        <v>0</v>
      </c>
      <c r="R209" t="b">
        <v>0</v>
      </c>
      <c r="S209" t="b">
        <v>1</v>
      </c>
      <c r="T209">
        <v>2</v>
      </c>
      <c r="U209" s="1">
        <v>0.51880839540526424</v>
      </c>
      <c r="V209" s="1">
        <v>0.94861083428840121</v>
      </c>
      <c r="W209" s="1">
        <v>2.6257756541806128E-4</v>
      </c>
      <c r="X209">
        <v>4</v>
      </c>
      <c r="Y209" s="1">
        <v>0.46979166666666661</v>
      </c>
    </row>
    <row r="210" spans="2:25">
      <c r="B210" t="str">
        <f t="shared" si="6"/>
        <v>V</v>
      </c>
      <c r="C210" t="s">
        <v>101</v>
      </c>
      <c r="D210" t="str">
        <f t="shared" si="7"/>
        <v>V-市场趋势一致性</v>
      </c>
      <c r="E210" t="s">
        <v>709</v>
      </c>
      <c r="F210" t="s">
        <v>710</v>
      </c>
      <c r="G210" t="s">
        <v>711</v>
      </c>
      <c r="H210">
        <v>0</v>
      </c>
      <c r="I210">
        <v>1</v>
      </c>
      <c r="J210">
        <v>0.5</v>
      </c>
      <c r="K210">
        <v>0.5</v>
      </c>
      <c r="L210">
        <v>2</v>
      </c>
      <c r="M210" t="b">
        <v>1</v>
      </c>
      <c r="N210" t="b">
        <v>1</v>
      </c>
      <c r="O210" t="b">
        <v>0</v>
      </c>
      <c r="P210" t="b">
        <v>0</v>
      </c>
      <c r="Q210" t="b">
        <v>1</v>
      </c>
      <c r="R210" t="b">
        <v>0</v>
      </c>
      <c r="S210" t="b">
        <v>1</v>
      </c>
      <c r="T210">
        <v>4</v>
      </c>
      <c r="U210" s="1">
        <v>0.52859600673388774</v>
      </c>
      <c r="V210" s="1">
        <v>0.97967419462271332</v>
      </c>
      <c r="W210" s="1">
        <v>1.0736511110470361E-3</v>
      </c>
      <c r="X210">
        <v>6</v>
      </c>
      <c r="Y210" s="1">
        <v>0.51041666666666663</v>
      </c>
    </row>
    <row r="211" spans="2:25">
      <c r="B211" t="str">
        <f t="shared" si="6"/>
        <v>V</v>
      </c>
      <c r="C211" t="s">
        <v>101</v>
      </c>
      <c r="D211" t="str">
        <f t="shared" si="7"/>
        <v>V-市场趋势一致性</v>
      </c>
      <c r="E211" t="s">
        <v>712</v>
      </c>
      <c r="F211" t="s">
        <v>713</v>
      </c>
      <c r="G211" t="s">
        <v>714</v>
      </c>
      <c r="H211">
        <v>1</v>
      </c>
      <c r="I211">
        <v>0</v>
      </c>
      <c r="J211">
        <v>0.5</v>
      </c>
      <c r="K211">
        <v>0.5</v>
      </c>
      <c r="L211">
        <v>2</v>
      </c>
      <c r="M211" t="b">
        <v>1</v>
      </c>
      <c r="N211" t="b">
        <v>1</v>
      </c>
      <c r="O211" t="b">
        <v>0</v>
      </c>
      <c r="P211" t="b">
        <v>0</v>
      </c>
      <c r="Q211" t="b">
        <v>1</v>
      </c>
      <c r="R211" t="b">
        <v>0</v>
      </c>
      <c r="S211" t="b">
        <v>1</v>
      </c>
      <c r="T211">
        <v>4</v>
      </c>
      <c r="U211" s="1">
        <v>0.53152747983454163</v>
      </c>
      <c r="V211" s="1">
        <v>0.97743708810684937</v>
      </c>
      <c r="W211" s="1">
        <v>1.183089816390416E-3</v>
      </c>
      <c r="X211">
        <v>6</v>
      </c>
      <c r="Y211" s="1">
        <v>0.51145833333333335</v>
      </c>
    </row>
    <row r="212" spans="2:25">
      <c r="B212" t="str">
        <f t="shared" si="6"/>
        <v>V</v>
      </c>
      <c r="C212" t="s">
        <v>101</v>
      </c>
      <c r="D212" t="str">
        <f t="shared" si="7"/>
        <v>V-市场趋势一致性</v>
      </c>
      <c r="E212" t="s">
        <v>715</v>
      </c>
      <c r="F212" t="s">
        <v>716</v>
      </c>
      <c r="G212" t="s">
        <v>717</v>
      </c>
      <c r="H212">
        <v>0</v>
      </c>
      <c r="I212">
        <v>0</v>
      </c>
      <c r="J212">
        <v>0.5</v>
      </c>
      <c r="K212">
        <v>0.5</v>
      </c>
      <c r="L212">
        <v>1</v>
      </c>
      <c r="M212" t="b">
        <v>1</v>
      </c>
      <c r="N212" t="b">
        <v>1</v>
      </c>
      <c r="O212" t="b">
        <v>0</v>
      </c>
      <c r="P212" t="b">
        <v>0</v>
      </c>
      <c r="Q212" t="b">
        <v>1</v>
      </c>
      <c r="R212" t="b">
        <v>0</v>
      </c>
      <c r="S212" t="b">
        <v>1</v>
      </c>
      <c r="T212">
        <v>4</v>
      </c>
      <c r="U212" s="1">
        <v>0.53310389418514759</v>
      </c>
      <c r="V212" s="1">
        <v>0.97846262239623827</v>
      </c>
      <c r="W212" s="1">
        <v>1.269443027954619E-3</v>
      </c>
      <c r="X212">
        <v>5</v>
      </c>
      <c r="Y212" s="1">
        <v>0.51041666666666674</v>
      </c>
    </row>
    <row r="213" spans="2:25">
      <c r="B213" t="str">
        <f t="shared" si="6"/>
        <v>V</v>
      </c>
      <c r="C213" t="s">
        <v>101</v>
      </c>
      <c r="D213" t="str">
        <f t="shared" si="7"/>
        <v>V-市场趋势一致性</v>
      </c>
      <c r="E213" t="s">
        <v>718</v>
      </c>
      <c r="F213" t="s">
        <v>719</v>
      </c>
      <c r="G213" t="s">
        <v>720</v>
      </c>
      <c r="H213">
        <v>0</v>
      </c>
      <c r="I213">
        <v>0</v>
      </c>
      <c r="J213">
        <v>0</v>
      </c>
      <c r="K213">
        <v>0.5</v>
      </c>
      <c r="L213">
        <v>0.5</v>
      </c>
      <c r="M213" t="b">
        <v>1</v>
      </c>
      <c r="N213" t="b">
        <v>1</v>
      </c>
      <c r="O213" t="b">
        <v>0</v>
      </c>
      <c r="P213" t="b">
        <v>0</v>
      </c>
      <c r="Q213" t="b">
        <v>1</v>
      </c>
      <c r="R213" t="b">
        <v>0</v>
      </c>
      <c r="S213" t="b">
        <v>1</v>
      </c>
      <c r="T213">
        <v>4</v>
      </c>
      <c r="U213" s="1">
        <v>0.52796948456326753</v>
      </c>
      <c r="V213" s="1">
        <v>0.98118201090781854</v>
      </c>
      <c r="W213" s="1">
        <v>1.051075951154154E-3</v>
      </c>
      <c r="X213">
        <v>4.5</v>
      </c>
      <c r="Y213" s="1">
        <v>0.4958333333333334</v>
      </c>
    </row>
    <row r="214" spans="2:25">
      <c r="B214" t="str">
        <f t="shared" si="6"/>
        <v>V</v>
      </c>
      <c r="C214" t="s">
        <v>101</v>
      </c>
      <c r="D214" t="str">
        <f t="shared" si="7"/>
        <v>V-市场趋势一致性</v>
      </c>
      <c r="E214" t="s">
        <v>721</v>
      </c>
      <c r="F214" t="s">
        <v>722</v>
      </c>
      <c r="G214" t="s">
        <v>723</v>
      </c>
      <c r="H214">
        <v>0</v>
      </c>
      <c r="I214">
        <v>0</v>
      </c>
      <c r="J214">
        <v>0.5</v>
      </c>
      <c r="K214">
        <v>0.5</v>
      </c>
      <c r="L214">
        <v>1</v>
      </c>
      <c r="M214" t="b">
        <v>1</v>
      </c>
      <c r="N214" t="b">
        <v>1</v>
      </c>
      <c r="O214" t="b">
        <v>0</v>
      </c>
      <c r="P214" t="b">
        <v>0</v>
      </c>
      <c r="Q214" t="b">
        <v>1</v>
      </c>
      <c r="R214" t="b">
        <v>0</v>
      </c>
      <c r="S214" t="b">
        <v>1</v>
      </c>
      <c r="T214">
        <v>4</v>
      </c>
      <c r="U214" s="1">
        <v>0.52229537404887083</v>
      </c>
      <c r="V214" s="1">
        <v>0.99061632434328273</v>
      </c>
      <c r="W214" s="1">
        <v>9.1751994616753115E-4</v>
      </c>
      <c r="X214">
        <v>5</v>
      </c>
      <c r="Y214" s="1">
        <v>0.50312500000000004</v>
      </c>
    </row>
    <row r="215" spans="2:25">
      <c r="B215" t="str">
        <f t="shared" si="6"/>
        <v>V</v>
      </c>
      <c r="C215" t="s">
        <v>105</v>
      </c>
      <c r="D215" t="str">
        <f t="shared" si="7"/>
        <v>V-动量</v>
      </c>
      <c r="E215" t="s">
        <v>724</v>
      </c>
      <c r="F215" t="s">
        <v>725</v>
      </c>
      <c r="G215" t="s">
        <v>726</v>
      </c>
      <c r="H215">
        <v>0</v>
      </c>
      <c r="I215">
        <v>0</v>
      </c>
      <c r="J215">
        <v>0.5</v>
      </c>
      <c r="K215">
        <v>0.5</v>
      </c>
      <c r="L215">
        <v>1</v>
      </c>
      <c r="M215" t="b">
        <v>1</v>
      </c>
      <c r="N215" t="b">
        <v>1</v>
      </c>
      <c r="O215" t="b">
        <v>0</v>
      </c>
      <c r="P215" t="b">
        <v>1</v>
      </c>
      <c r="Q215" t="b">
        <v>1</v>
      </c>
      <c r="R215" t="b">
        <v>1</v>
      </c>
      <c r="S215" t="b">
        <v>1</v>
      </c>
      <c r="T215">
        <v>6</v>
      </c>
      <c r="U215" s="1">
        <v>0.52499325135789376</v>
      </c>
      <c r="V215" s="1">
        <v>1.003466321359727</v>
      </c>
      <c r="W215" s="1">
        <v>1.096331719653612E-3</v>
      </c>
      <c r="X215">
        <v>7</v>
      </c>
      <c r="Y215" s="1">
        <v>0.51041666666666663</v>
      </c>
    </row>
    <row r="216" spans="2:25">
      <c r="B216" t="str">
        <f t="shared" si="6"/>
        <v>V</v>
      </c>
      <c r="C216" t="s">
        <v>105</v>
      </c>
      <c r="D216" t="str">
        <f t="shared" si="7"/>
        <v>V-动量</v>
      </c>
      <c r="E216" t="s">
        <v>727</v>
      </c>
      <c r="F216" t="s">
        <v>728</v>
      </c>
      <c r="G216" t="s">
        <v>729</v>
      </c>
      <c r="H216">
        <v>1</v>
      </c>
      <c r="I216">
        <v>0</v>
      </c>
      <c r="J216">
        <v>0.5</v>
      </c>
      <c r="K216">
        <v>0.5</v>
      </c>
      <c r="L216">
        <v>2</v>
      </c>
      <c r="M216" t="b">
        <v>1</v>
      </c>
      <c r="N216" t="b">
        <v>1</v>
      </c>
      <c r="O216" t="b">
        <v>0</v>
      </c>
      <c r="P216" t="b">
        <v>0</v>
      </c>
      <c r="Q216" t="b">
        <v>1</v>
      </c>
      <c r="R216" t="b">
        <v>1</v>
      </c>
      <c r="S216" t="b">
        <v>1</v>
      </c>
      <c r="T216">
        <v>5</v>
      </c>
      <c r="U216" s="1">
        <v>0.52077944513415753</v>
      </c>
      <c r="V216" s="1">
        <v>1.012076859734127</v>
      </c>
      <c r="W216" s="1">
        <v>1.1262424995073131E-3</v>
      </c>
      <c r="X216">
        <v>7</v>
      </c>
      <c r="Y216" s="1">
        <v>0.51458333333333328</v>
      </c>
    </row>
    <row r="217" spans="2:25">
      <c r="B217" t="str">
        <f t="shared" si="6"/>
        <v>V</v>
      </c>
      <c r="C217" t="s">
        <v>105</v>
      </c>
      <c r="D217" t="str">
        <f t="shared" si="7"/>
        <v>V-动量</v>
      </c>
      <c r="E217" t="s">
        <v>730</v>
      </c>
      <c r="F217" t="s">
        <v>731</v>
      </c>
      <c r="G217" t="s">
        <v>732</v>
      </c>
      <c r="H217">
        <v>0</v>
      </c>
      <c r="I217">
        <v>0</v>
      </c>
      <c r="J217">
        <v>0.5</v>
      </c>
      <c r="K217">
        <v>0.5</v>
      </c>
      <c r="L217">
        <v>1</v>
      </c>
      <c r="M217" t="b">
        <v>1</v>
      </c>
      <c r="N217" t="b">
        <v>1</v>
      </c>
      <c r="O217" t="b">
        <v>0</v>
      </c>
      <c r="P217" t="b">
        <v>0</v>
      </c>
      <c r="Q217" t="b">
        <v>0</v>
      </c>
      <c r="R217" t="b">
        <v>0</v>
      </c>
      <c r="S217" t="b">
        <v>1</v>
      </c>
      <c r="T217">
        <v>3</v>
      </c>
      <c r="U217" s="1">
        <v>0.51604701523398044</v>
      </c>
      <c r="V217" s="1">
        <v>0.99474728225141251</v>
      </c>
      <c r="W217" s="1">
        <v>6.8733044398489626E-4</v>
      </c>
      <c r="X217">
        <v>4</v>
      </c>
      <c r="Y217" s="1">
        <v>0.50416666666666665</v>
      </c>
    </row>
    <row r="218" spans="2:25">
      <c r="B218" t="str">
        <f t="shared" si="6"/>
        <v>V</v>
      </c>
      <c r="C218" t="s">
        <v>105</v>
      </c>
      <c r="D218" t="str">
        <f t="shared" si="7"/>
        <v>V-动量</v>
      </c>
      <c r="E218" t="s">
        <v>733</v>
      </c>
      <c r="F218" t="s">
        <v>734</v>
      </c>
      <c r="G218" t="s">
        <v>735</v>
      </c>
      <c r="H218">
        <v>0</v>
      </c>
      <c r="I218">
        <v>0</v>
      </c>
      <c r="J218">
        <v>0.5</v>
      </c>
      <c r="K218">
        <v>0.5</v>
      </c>
      <c r="L218">
        <v>1</v>
      </c>
      <c r="M218" t="b">
        <v>1</v>
      </c>
      <c r="N218" t="b">
        <v>1</v>
      </c>
      <c r="O218" t="b">
        <v>0</v>
      </c>
      <c r="P218" t="b">
        <v>0</v>
      </c>
      <c r="Q218" t="b">
        <v>1</v>
      </c>
      <c r="R218" t="b">
        <v>0</v>
      </c>
      <c r="S218" t="b">
        <v>1</v>
      </c>
      <c r="T218">
        <v>4</v>
      </c>
      <c r="U218" s="1">
        <v>0.5261473683152782</v>
      </c>
      <c r="V218" s="1">
        <v>0.97740974519096313</v>
      </c>
      <c r="W218" s="1">
        <v>9.2580829942647718E-4</v>
      </c>
      <c r="X218">
        <v>5</v>
      </c>
      <c r="Y218" s="1">
        <v>0.49895833333333339</v>
      </c>
    </row>
    <row r="219" spans="2:25">
      <c r="B219" t="str">
        <f t="shared" si="6"/>
        <v>V</v>
      </c>
      <c r="C219" t="s">
        <v>105</v>
      </c>
      <c r="D219" t="str">
        <f t="shared" si="7"/>
        <v>V-动量</v>
      </c>
      <c r="E219" t="s">
        <v>736</v>
      </c>
      <c r="F219" t="s">
        <v>737</v>
      </c>
      <c r="G219" t="s">
        <v>738</v>
      </c>
      <c r="H219">
        <v>1</v>
      </c>
      <c r="I219">
        <v>0</v>
      </c>
      <c r="J219">
        <v>0.5</v>
      </c>
      <c r="K219">
        <v>0.5</v>
      </c>
      <c r="L219">
        <v>2</v>
      </c>
      <c r="M219" t="b">
        <v>1</v>
      </c>
      <c r="N219" t="b">
        <v>1</v>
      </c>
      <c r="O219" t="b">
        <v>0</v>
      </c>
      <c r="P219" t="b">
        <v>0</v>
      </c>
      <c r="Q219" t="b">
        <v>0</v>
      </c>
      <c r="R219" t="b">
        <v>0</v>
      </c>
      <c r="S219" t="b">
        <v>1</v>
      </c>
      <c r="T219">
        <v>3</v>
      </c>
      <c r="U219" s="1">
        <v>0.51613257703237991</v>
      </c>
      <c r="V219" s="1">
        <v>0.9756616041652677</v>
      </c>
      <c r="W219" s="1">
        <v>4.3826653195892128E-4</v>
      </c>
      <c r="X219">
        <v>5</v>
      </c>
      <c r="Y219" s="1">
        <v>0.47499999999999998</v>
      </c>
    </row>
    <row r="220" spans="2:25">
      <c r="B220" t="str">
        <f t="shared" si="6"/>
        <v>V</v>
      </c>
      <c r="C220" t="s">
        <v>105</v>
      </c>
      <c r="D220" t="str">
        <f t="shared" si="7"/>
        <v>V-动量</v>
      </c>
      <c r="E220" t="s">
        <v>739</v>
      </c>
      <c r="F220" t="s">
        <v>740</v>
      </c>
      <c r="G220" t="s">
        <v>741</v>
      </c>
      <c r="H220">
        <v>0</v>
      </c>
      <c r="I220">
        <v>0</v>
      </c>
      <c r="J220">
        <v>0</v>
      </c>
      <c r="K220">
        <v>0.5</v>
      </c>
      <c r="L220">
        <v>0.5</v>
      </c>
      <c r="M220" t="b">
        <v>1</v>
      </c>
      <c r="N220" t="b">
        <v>1</v>
      </c>
      <c r="O220" t="b">
        <v>0</v>
      </c>
      <c r="P220" t="b">
        <v>0</v>
      </c>
      <c r="Q220" t="b">
        <v>1</v>
      </c>
      <c r="R220" t="b">
        <v>0</v>
      </c>
      <c r="S220" t="b">
        <v>1</v>
      </c>
      <c r="T220">
        <v>4</v>
      </c>
      <c r="U220" s="1">
        <v>0.52564796438986838</v>
      </c>
      <c r="V220" s="1">
        <v>0.98108520013906464</v>
      </c>
      <c r="W220" s="1">
        <v>9.3987175477280578E-4</v>
      </c>
      <c r="X220">
        <v>4.5</v>
      </c>
      <c r="Y220" s="1">
        <v>0.50937499999999991</v>
      </c>
    </row>
    <row r="221" spans="2:25">
      <c r="B221" t="str">
        <f t="shared" si="6"/>
        <v>V</v>
      </c>
      <c r="C221" t="s">
        <v>105</v>
      </c>
      <c r="D221" t="str">
        <f t="shared" si="7"/>
        <v>V-动量</v>
      </c>
      <c r="E221" t="s">
        <v>742</v>
      </c>
      <c r="F221" t="s">
        <v>743</v>
      </c>
      <c r="G221" t="s">
        <v>744</v>
      </c>
      <c r="H221">
        <v>0</v>
      </c>
      <c r="I221">
        <v>0</v>
      </c>
      <c r="J221">
        <v>0</v>
      </c>
      <c r="K221">
        <v>0</v>
      </c>
      <c r="L221">
        <v>0</v>
      </c>
      <c r="M221" t="b">
        <v>1</v>
      </c>
      <c r="N221" t="b">
        <v>1</v>
      </c>
      <c r="O221" t="b">
        <v>0</v>
      </c>
      <c r="P221" t="b">
        <v>0</v>
      </c>
      <c r="Q221" t="b">
        <v>1</v>
      </c>
      <c r="R221" t="b">
        <v>0</v>
      </c>
      <c r="S221" t="b">
        <v>1</v>
      </c>
      <c r="T221">
        <v>4</v>
      </c>
      <c r="U221" s="1">
        <v>0.52211289540458949</v>
      </c>
      <c r="V221" s="1">
        <v>0.97881391864796297</v>
      </c>
      <c r="W221" s="1">
        <v>7.6919036797212792E-4</v>
      </c>
      <c r="X221">
        <v>4</v>
      </c>
      <c r="Y221" s="1">
        <v>0.48958333333333343</v>
      </c>
    </row>
    <row r="222" spans="2:25">
      <c r="B222" t="str">
        <f t="shared" si="6"/>
        <v>V</v>
      </c>
      <c r="C222" t="s">
        <v>105</v>
      </c>
      <c r="D222" t="str">
        <f t="shared" si="7"/>
        <v>V-动量</v>
      </c>
      <c r="E222" t="s">
        <v>745</v>
      </c>
      <c r="F222" t="s">
        <v>746</v>
      </c>
      <c r="G222" t="s">
        <v>747</v>
      </c>
      <c r="H222">
        <v>0</v>
      </c>
      <c r="I222">
        <v>0</v>
      </c>
      <c r="J222">
        <v>0.5</v>
      </c>
      <c r="K222">
        <v>0</v>
      </c>
      <c r="L222">
        <v>0.5</v>
      </c>
      <c r="M222" t="b">
        <v>1</v>
      </c>
      <c r="N222" t="b">
        <v>1</v>
      </c>
      <c r="O222" t="b">
        <v>0</v>
      </c>
      <c r="P222" t="b">
        <v>0</v>
      </c>
      <c r="Q222" t="b">
        <v>0</v>
      </c>
      <c r="R222" t="b">
        <v>0</v>
      </c>
      <c r="S222" t="b">
        <v>1</v>
      </c>
      <c r="T222">
        <v>3</v>
      </c>
      <c r="U222" s="1">
        <v>0.51797657471307501</v>
      </c>
      <c r="V222" s="1">
        <v>0.96592072639851556</v>
      </c>
      <c r="W222" s="1">
        <v>4.1182073986702482E-4</v>
      </c>
      <c r="X222">
        <v>3.5</v>
      </c>
      <c r="Y222" s="1">
        <v>0.48958333333333343</v>
      </c>
    </row>
    <row r="223" spans="2:25">
      <c r="B223" t="str">
        <f t="shared" si="6"/>
        <v>V</v>
      </c>
      <c r="C223" t="s">
        <v>105</v>
      </c>
      <c r="D223" t="str">
        <f t="shared" si="7"/>
        <v>V-动量</v>
      </c>
      <c r="E223" t="s">
        <v>748</v>
      </c>
      <c r="F223" t="s">
        <v>749</v>
      </c>
      <c r="G223" t="s">
        <v>750</v>
      </c>
      <c r="H223">
        <v>0</v>
      </c>
      <c r="I223">
        <v>0</v>
      </c>
      <c r="J223">
        <v>0.5</v>
      </c>
      <c r="K223">
        <v>0.5</v>
      </c>
      <c r="L223">
        <v>1</v>
      </c>
      <c r="M223" t="b">
        <v>1</v>
      </c>
      <c r="N223" t="b">
        <v>1</v>
      </c>
      <c r="O223" t="b">
        <v>0</v>
      </c>
      <c r="P223" t="b">
        <v>0</v>
      </c>
      <c r="Q223" t="b">
        <v>1</v>
      </c>
      <c r="R223" t="b">
        <v>0</v>
      </c>
      <c r="S223" t="b">
        <v>1</v>
      </c>
      <c r="T223">
        <v>4</v>
      </c>
      <c r="U223" s="1">
        <v>0.53241313053709116</v>
      </c>
      <c r="V223" s="1">
        <v>0.97683891661655609</v>
      </c>
      <c r="W223" s="1">
        <v>1.200815256847393E-3</v>
      </c>
      <c r="X223">
        <v>5</v>
      </c>
      <c r="Y223" s="1">
        <v>0.52395833333333341</v>
      </c>
    </row>
    <row r="224" spans="2:25">
      <c r="B224" t="str">
        <f t="shared" si="6"/>
        <v>V</v>
      </c>
      <c r="C224" t="s">
        <v>105</v>
      </c>
      <c r="D224" t="str">
        <f t="shared" si="7"/>
        <v>V-动量</v>
      </c>
      <c r="E224" t="s">
        <v>751</v>
      </c>
      <c r="F224" t="s">
        <v>752</v>
      </c>
      <c r="G224" t="s">
        <v>753</v>
      </c>
      <c r="H224">
        <v>0</v>
      </c>
      <c r="I224">
        <v>0</v>
      </c>
      <c r="J224">
        <v>0</v>
      </c>
      <c r="K224">
        <v>0</v>
      </c>
      <c r="L224">
        <v>0</v>
      </c>
      <c r="M224" t="b">
        <v>1</v>
      </c>
      <c r="N224" t="b">
        <v>1</v>
      </c>
      <c r="O224" t="b">
        <v>0</v>
      </c>
      <c r="P224" t="b">
        <v>0</v>
      </c>
      <c r="Q224" t="b">
        <v>1</v>
      </c>
      <c r="R224" t="b">
        <v>0</v>
      </c>
      <c r="S224" t="b">
        <v>1</v>
      </c>
      <c r="T224">
        <v>4</v>
      </c>
      <c r="U224" s="1">
        <v>0.52080601532545978</v>
      </c>
      <c r="V224" s="1">
        <v>0.98803003263108313</v>
      </c>
      <c r="W224" s="1">
        <v>8.3378872216606091E-4</v>
      </c>
      <c r="X224">
        <v>4</v>
      </c>
      <c r="Y224" s="1">
        <v>0.48958333333333331</v>
      </c>
    </row>
    <row r="225" spans="1:25">
      <c r="B225" t="str">
        <f t="shared" si="6"/>
        <v>V</v>
      </c>
      <c r="C225" t="s">
        <v>105</v>
      </c>
      <c r="D225" t="str">
        <f t="shared" si="7"/>
        <v>V-动量</v>
      </c>
      <c r="E225" t="s">
        <v>754</v>
      </c>
      <c r="F225" t="s">
        <v>755</v>
      </c>
      <c r="G225" t="s">
        <v>756</v>
      </c>
      <c r="H225">
        <v>1</v>
      </c>
      <c r="I225">
        <v>0</v>
      </c>
      <c r="J225">
        <v>0.5</v>
      </c>
      <c r="K225">
        <v>0.5</v>
      </c>
      <c r="L225">
        <v>2</v>
      </c>
      <c r="M225" t="b">
        <v>1</v>
      </c>
      <c r="N225" t="b">
        <v>1</v>
      </c>
      <c r="O225" t="b">
        <v>0</v>
      </c>
      <c r="P225" t="b">
        <v>0</v>
      </c>
      <c r="Q225" t="b">
        <v>0</v>
      </c>
      <c r="R225" t="b">
        <v>1</v>
      </c>
      <c r="S225" t="b">
        <v>1</v>
      </c>
      <c r="T225">
        <v>4</v>
      </c>
      <c r="U225" s="1">
        <v>0.51724563085754949</v>
      </c>
      <c r="V225" s="1">
        <v>1.0235717124707751</v>
      </c>
      <c r="W225" s="1">
        <v>1.0607986135595341E-3</v>
      </c>
      <c r="X225">
        <v>6</v>
      </c>
      <c r="Y225" s="1">
        <v>0.52916666666666656</v>
      </c>
    </row>
    <row r="226" spans="1:25">
      <c r="B226" t="str">
        <f t="shared" si="6"/>
        <v>V</v>
      </c>
      <c r="C226" t="s">
        <v>105</v>
      </c>
      <c r="D226" t="str">
        <f t="shared" si="7"/>
        <v>V-动量</v>
      </c>
      <c r="E226" t="s">
        <v>757</v>
      </c>
      <c r="F226" t="s">
        <v>758</v>
      </c>
      <c r="G226" t="s">
        <v>759</v>
      </c>
      <c r="H226">
        <v>1</v>
      </c>
      <c r="I226">
        <v>0</v>
      </c>
      <c r="J226">
        <v>0</v>
      </c>
      <c r="K226">
        <v>0</v>
      </c>
      <c r="L226">
        <v>1</v>
      </c>
      <c r="M226" t="b">
        <v>1</v>
      </c>
      <c r="N226" t="b">
        <v>1</v>
      </c>
      <c r="O226" t="b">
        <v>0</v>
      </c>
      <c r="P226" t="b">
        <v>0</v>
      </c>
      <c r="Q226" t="b">
        <v>1</v>
      </c>
      <c r="R226" t="b">
        <v>0</v>
      </c>
      <c r="S226" t="b">
        <v>1</v>
      </c>
      <c r="T226">
        <v>4</v>
      </c>
      <c r="U226" s="1">
        <v>0.5218820001240364</v>
      </c>
      <c r="V226" s="1">
        <v>0.99208087134031986</v>
      </c>
      <c r="W226" s="1">
        <v>9.3540922917376731E-4</v>
      </c>
      <c r="X226">
        <v>5</v>
      </c>
      <c r="Y226" s="1">
        <v>0.50416666666666665</v>
      </c>
    </row>
    <row r="227" spans="1:25">
      <c r="B227" t="str">
        <f t="shared" si="6"/>
        <v>V</v>
      </c>
      <c r="C227" t="s">
        <v>105</v>
      </c>
      <c r="D227" t="str">
        <f t="shared" si="7"/>
        <v>V-动量</v>
      </c>
      <c r="E227" t="s">
        <v>760</v>
      </c>
      <c r="F227" t="s">
        <v>761</v>
      </c>
      <c r="G227" t="s">
        <v>762</v>
      </c>
      <c r="H227">
        <v>1</v>
      </c>
      <c r="I227">
        <v>0</v>
      </c>
      <c r="J227">
        <v>0.5</v>
      </c>
      <c r="K227">
        <v>0.5</v>
      </c>
      <c r="L227">
        <v>2</v>
      </c>
      <c r="M227" t="b">
        <v>1</v>
      </c>
      <c r="N227" t="b">
        <v>1</v>
      </c>
      <c r="O227" t="b">
        <v>0</v>
      </c>
      <c r="P227" t="b">
        <v>0</v>
      </c>
      <c r="Q227" t="b">
        <v>0</v>
      </c>
      <c r="R227" t="b">
        <v>1</v>
      </c>
      <c r="S227" t="b">
        <v>1</v>
      </c>
      <c r="T227">
        <v>4</v>
      </c>
      <c r="U227" s="1">
        <v>0.51572937056434642</v>
      </c>
      <c r="V227" s="1">
        <v>1.0350404292622879</v>
      </c>
      <c r="W227" s="1">
        <v>1.1253492796221281E-3</v>
      </c>
      <c r="X227">
        <v>6</v>
      </c>
      <c r="Y227" s="1">
        <v>0.51041666666666663</v>
      </c>
    </row>
    <row r="228" spans="1:25">
      <c r="B228" t="str">
        <f t="shared" si="6"/>
        <v>V</v>
      </c>
      <c r="C228" t="s">
        <v>105</v>
      </c>
      <c r="D228" t="str">
        <f t="shared" si="7"/>
        <v>V-动量</v>
      </c>
      <c r="E228" t="s">
        <v>763</v>
      </c>
      <c r="F228" t="s">
        <v>764</v>
      </c>
      <c r="G228" t="s">
        <v>765</v>
      </c>
      <c r="H228">
        <v>1</v>
      </c>
      <c r="I228">
        <v>0</v>
      </c>
      <c r="J228">
        <v>0.5</v>
      </c>
      <c r="K228">
        <v>0.5</v>
      </c>
      <c r="L228">
        <v>2</v>
      </c>
      <c r="M228" t="b">
        <v>1</v>
      </c>
      <c r="N228" t="b">
        <v>1</v>
      </c>
      <c r="O228" t="b">
        <v>0</v>
      </c>
      <c r="P228" t="b">
        <v>0</v>
      </c>
      <c r="Q228" t="b">
        <v>0</v>
      </c>
      <c r="R228" t="b">
        <v>1</v>
      </c>
      <c r="S228" t="b">
        <v>1</v>
      </c>
      <c r="T228">
        <v>4</v>
      </c>
      <c r="U228" s="1">
        <v>0.51049646919016978</v>
      </c>
      <c r="V228" s="1">
        <v>1.006536286579075</v>
      </c>
      <c r="W228" s="1">
        <v>5.4770078218860266E-4</v>
      </c>
      <c r="X228">
        <v>6</v>
      </c>
      <c r="Y228" s="1">
        <v>0.49062499999999998</v>
      </c>
    </row>
    <row r="229" spans="1:25">
      <c r="A229" s="6">
        <v>1</v>
      </c>
      <c r="B229" t="str">
        <f t="shared" si="6"/>
        <v>V</v>
      </c>
      <c r="C229" t="s">
        <v>105</v>
      </c>
      <c r="D229" t="str">
        <f t="shared" si="7"/>
        <v>V-动量</v>
      </c>
      <c r="E229" t="s">
        <v>766</v>
      </c>
      <c r="F229" t="s">
        <v>767</v>
      </c>
      <c r="G229" t="s">
        <v>768</v>
      </c>
      <c r="H229">
        <v>1</v>
      </c>
      <c r="I229">
        <v>0</v>
      </c>
      <c r="J229">
        <v>0.5</v>
      </c>
      <c r="K229">
        <v>0.5</v>
      </c>
      <c r="L229">
        <v>2</v>
      </c>
      <c r="M229" t="b">
        <v>1</v>
      </c>
      <c r="N229" t="b">
        <v>1</v>
      </c>
      <c r="O229" t="b">
        <v>0</v>
      </c>
      <c r="P229" t="b">
        <v>0</v>
      </c>
      <c r="Q229" t="b">
        <v>1</v>
      </c>
      <c r="R229" t="b">
        <v>1</v>
      </c>
      <c r="S229" t="b">
        <v>1</v>
      </c>
      <c r="T229">
        <v>5</v>
      </c>
      <c r="U229" s="1">
        <v>0.52162411317096391</v>
      </c>
      <c r="V229" s="1">
        <v>1.0264522981907569</v>
      </c>
      <c r="W229" s="1">
        <v>1.3195052677809119E-3</v>
      </c>
      <c r="X229">
        <v>7</v>
      </c>
      <c r="Y229" s="1">
        <v>0.53020833333333328</v>
      </c>
    </row>
    <row r="230" spans="1:25">
      <c r="B230" t="str">
        <f t="shared" si="6"/>
        <v>V</v>
      </c>
      <c r="C230" t="s">
        <v>105</v>
      </c>
      <c r="D230" t="str">
        <f t="shared" si="7"/>
        <v>V-动量</v>
      </c>
      <c r="E230" t="s">
        <v>769</v>
      </c>
      <c r="F230">
        <v>0</v>
      </c>
      <c r="G230" t="s">
        <v>770</v>
      </c>
      <c r="H230">
        <v>1</v>
      </c>
      <c r="I230">
        <v>0</v>
      </c>
      <c r="J230">
        <v>0.5</v>
      </c>
      <c r="K230">
        <v>0.5</v>
      </c>
      <c r="L230">
        <v>2</v>
      </c>
      <c r="M230" t="b">
        <v>1</v>
      </c>
      <c r="N230" t="b">
        <v>1</v>
      </c>
      <c r="O230" t="b">
        <v>0</v>
      </c>
      <c r="P230" t="b">
        <v>0</v>
      </c>
      <c r="Q230" t="b">
        <v>1</v>
      </c>
      <c r="R230" t="b">
        <v>1</v>
      </c>
      <c r="S230" t="b">
        <v>1</v>
      </c>
      <c r="T230">
        <v>5</v>
      </c>
      <c r="U230" s="1">
        <v>0.52162411317096391</v>
      </c>
      <c r="V230" s="1">
        <v>1.0264522981907569</v>
      </c>
      <c r="W230" s="1">
        <v>1.3195052677809119E-3</v>
      </c>
      <c r="X230">
        <v>7</v>
      </c>
      <c r="Y230" s="1">
        <v>0.53020833333333328</v>
      </c>
    </row>
    <row r="231" spans="1:25">
      <c r="B231" t="str">
        <f t="shared" si="6"/>
        <v>V</v>
      </c>
      <c r="C231" t="s">
        <v>105</v>
      </c>
      <c r="D231" t="str">
        <f t="shared" si="7"/>
        <v>V-动量</v>
      </c>
      <c r="E231" t="s">
        <v>766</v>
      </c>
      <c r="F231" t="s">
        <v>771</v>
      </c>
      <c r="G231" t="s">
        <v>772</v>
      </c>
      <c r="H231">
        <v>1</v>
      </c>
      <c r="I231">
        <v>0</v>
      </c>
      <c r="J231">
        <v>0.5</v>
      </c>
      <c r="K231">
        <v>0.5</v>
      </c>
      <c r="L231">
        <v>2</v>
      </c>
      <c r="M231" t="b">
        <v>1</v>
      </c>
      <c r="N231" t="b">
        <v>1</v>
      </c>
      <c r="O231" t="b">
        <v>0</v>
      </c>
      <c r="P231" t="b">
        <v>0</v>
      </c>
      <c r="Q231" t="b">
        <v>1</v>
      </c>
      <c r="R231" t="b">
        <v>1</v>
      </c>
      <c r="S231" t="b">
        <v>1</v>
      </c>
      <c r="T231">
        <v>5</v>
      </c>
      <c r="U231" s="1">
        <v>0.52134853710495443</v>
      </c>
      <c r="V231" s="1">
        <v>1.0211976526894671</v>
      </c>
      <c r="W231" s="1">
        <v>1.242191171695423E-3</v>
      </c>
      <c r="X231">
        <v>7</v>
      </c>
      <c r="Y231" s="1">
        <v>0.52708333333333335</v>
      </c>
    </row>
    <row r="232" spans="1:25">
      <c r="B232" t="str">
        <f t="shared" si="6"/>
        <v>V</v>
      </c>
      <c r="C232" t="s">
        <v>105</v>
      </c>
      <c r="D232" t="str">
        <f t="shared" si="7"/>
        <v>V-动量</v>
      </c>
      <c r="E232" t="s">
        <v>773</v>
      </c>
      <c r="F232" t="s">
        <v>774</v>
      </c>
      <c r="G232" t="s">
        <v>775</v>
      </c>
      <c r="H232">
        <v>0</v>
      </c>
      <c r="I232">
        <v>0</v>
      </c>
      <c r="J232">
        <v>0.5</v>
      </c>
      <c r="K232">
        <v>0</v>
      </c>
      <c r="L232">
        <v>0.5</v>
      </c>
      <c r="M232" t="b">
        <v>1</v>
      </c>
      <c r="N232" t="b">
        <v>1</v>
      </c>
      <c r="O232" t="b">
        <v>0</v>
      </c>
      <c r="P232" t="b">
        <v>0</v>
      </c>
      <c r="Q232" t="b">
        <v>1</v>
      </c>
      <c r="R232" t="b">
        <v>0</v>
      </c>
      <c r="S232" t="b">
        <v>1</v>
      </c>
      <c r="T232">
        <v>4</v>
      </c>
      <c r="U232" s="1">
        <v>0.5205921015657673</v>
      </c>
      <c r="V232" s="1">
        <v>0.97703205861248144</v>
      </c>
      <c r="W232" s="1">
        <v>6.6325674434606144E-4</v>
      </c>
      <c r="X232">
        <v>4.5</v>
      </c>
      <c r="Y232" s="1">
        <v>0.484375</v>
      </c>
    </row>
    <row r="233" spans="1:25">
      <c r="B233" t="str">
        <f t="shared" si="6"/>
        <v>V</v>
      </c>
      <c r="C233" t="s">
        <v>105</v>
      </c>
      <c r="D233" t="str">
        <f t="shared" si="7"/>
        <v>V-动量</v>
      </c>
      <c r="E233" t="s">
        <v>776</v>
      </c>
      <c r="F233" t="s">
        <v>777</v>
      </c>
      <c r="G233" t="s">
        <v>778</v>
      </c>
      <c r="H233">
        <v>0</v>
      </c>
      <c r="I233">
        <v>0</v>
      </c>
      <c r="J233">
        <v>0.5</v>
      </c>
      <c r="K233">
        <v>0.5</v>
      </c>
      <c r="L233">
        <v>1</v>
      </c>
      <c r="M233" t="b">
        <v>1</v>
      </c>
      <c r="N233" t="b">
        <v>1</v>
      </c>
      <c r="O233" t="b">
        <v>0</v>
      </c>
      <c r="P233" t="b">
        <v>0</v>
      </c>
      <c r="Q233" t="b">
        <v>1</v>
      </c>
      <c r="R233" t="b">
        <v>1</v>
      </c>
      <c r="S233" t="b">
        <v>1</v>
      </c>
      <c r="T233">
        <v>5</v>
      </c>
      <c r="U233" s="1">
        <v>0.52262207466451538</v>
      </c>
      <c r="V233" s="1">
        <v>1.0064138839953041</v>
      </c>
      <c r="W233" s="1">
        <v>1.1265259909749761E-3</v>
      </c>
      <c r="X233">
        <v>6</v>
      </c>
      <c r="Y233" s="1">
        <v>0.50208333333333333</v>
      </c>
    </row>
    <row r="234" spans="1:25">
      <c r="B234" t="str">
        <f t="shared" si="6"/>
        <v>V</v>
      </c>
      <c r="C234" t="s">
        <v>105</v>
      </c>
      <c r="D234" t="str">
        <f t="shared" si="7"/>
        <v>V-动量</v>
      </c>
      <c r="E234" t="s">
        <v>779</v>
      </c>
      <c r="F234" t="s">
        <v>780</v>
      </c>
      <c r="G234" t="s">
        <v>781</v>
      </c>
      <c r="H234">
        <v>0</v>
      </c>
      <c r="I234">
        <v>1</v>
      </c>
      <c r="J234">
        <v>0</v>
      </c>
      <c r="K234">
        <v>0.5</v>
      </c>
      <c r="L234">
        <v>1.5</v>
      </c>
      <c r="M234" t="b">
        <v>1</v>
      </c>
      <c r="N234" t="b">
        <v>1</v>
      </c>
      <c r="O234" t="b">
        <v>0</v>
      </c>
      <c r="P234" t="b">
        <v>0</v>
      </c>
      <c r="Q234" t="b">
        <v>0</v>
      </c>
      <c r="R234" t="b">
        <v>0</v>
      </c>
      <c r="S234" t="b">
        <v>0</v>
      </c>
      <c r="T234">
        <v>2</v>
      </c>
      <c r="U234" s="1">
        <v>0.49281967115780739</v>
      </c>
      <c r="V234" s="1">
        <v>0.97217629440104003</v>
      </c>
      <c r="W234" s="1">
        <v>-6.6963938002810206E-4</v>
      </c>
      <c r="X234">
        <v>3.5</v>
      </c>
      <c r="Y234" s="1">
        <v>0.43958333333333333</v>
      </c>
    </row>
    <row r="235" spans="1:25">
      <c r="B235" t="str">
        <f t="shared" si="6"/>
        <v>V</v>
      </c>
      <c r="C235" t="s">
        <v>105</v>
      </c>
      <c r="D235" t="str">
        <f t="shared" si="7"/>
        <v>V-动量</v>
      </c>
      <c r="E235" t="s">
        <v>782</v>
      </c>
      <c r="F235" t="s">
        <v>783</v>
      </c>
      <c r="G235" t="s">
        <v>784</v>
      </c>
      <c r="H235">
        <v>0</v>
      </c>
      <c r="I235">
        <v>0</v>
      </c>
      <c r="J235">
        <v>0.5</v>
      </c>
      <c r="K235">
        <v>0</v>
      </c>
      <c r="L235">
        <v>0.5</v>
      </c>
      <c r="M235" t="b">
        <v>1</v>
      </c>
      <c r="N235" t="b">
        <v>1</v>
      </c>
      <c r="O235" t="b">
        <v>0</v>
      </c>
      <c r="P235" t="b">
        <v>0</v>
      </c>
      <c r="Q235" t="b">
        <v>1</v>
      </c>
      <c r="R235" t="b">
        <v>0</v>
      </c>
      <c r="S235" t="b">
        <v>1</v>
      </c>
      <c r="T235">
        <v>4</v>
      </c>
      <c r="U235" s="1">
        <v>0.52007200966895806</v>
      </c>
      <c r="V235" s="1">
        <v>0.97468572295847911</v>
      </c>
      <c r="W235" s="1">
        <v>6.1745831453287737E-4</v>
      </c>
      <c r="X235">
        <v>4.5</v>
      </c>
      <c r="Y235" s="1">
        <v>0.46875</v>
      </c>
    </row>
    <row r="236" spans="1:25">
      <c r="B236" t="str">
        <f t="shared" si="6"/>
        <v>V</v>
      </c>
      <c r="C236" t="s">
        <v>105</v>
      </c>
      <c r="D236" t="str">
        <f t="shared" si="7"/>
        <v>V-动量</v>
      </c>
      <c r="E236" t="s">
        <v>785</v>
      </c>
      <c r="F236" t="s">
        <v>786</v>
      </c>
      <c r="G236" t="s">
        <v>787</v>
      </c>
      <c r="H236">
        <v>0</v>
      </c>
      <c r="I236">
        <v>0</v>
      </c>
      <c r="J236">
        <v>0.5</v>
      </c>
      <c r="K236">
        <v>0.5</v>
      </c>
      <c r="L236">
        <v>1</v>
      </c>
      <c r="M236" t="b">
        <v>1</v>
      </c>
      <c r="N236" t="b">
        <v>1</v>
      </c>
      <c r="O236" t="b">
        <v>0</v>
      </c>
      <c r="P236" t="b">
        <v>0</v>
      </c>
      <c r="Q236" t="b">
        <v>1</v>
      </c>
      <c r="R236" t="b">
        <v>0</v>
      </c>
      <c r="S236" t="b">
        <v>1</v>
      </c>
      <c r="T236">
        <v>4</v>
      </c>
      <c r="U236" s="1">
        <v>0.52337583511487473</v>
      </c>
      <c r="V236" s="1">
        <v>0.97153856729487809</v>
      </c>
      <c r="W236" s="1">
        <v>7.4807684385818707E-4</v>
      </c>
      <c r="X236">
        <v>5</v>
      </c>
      <c r="Y236" s="1">
        <v>0.50416666666666665</v>
      </c>
    </row>
    <row r="237" spans="1:25">
      <c r="B237" t="str">
        <f t="shared" si="6"/>
        <v>V</v>
      </c>
      <c r="C237" t="s">
        <v>105</v>
      </c>
      <c r="D237" t="str">
        <f t="shared" si="7"/>
        <v>V-动量</v>
      </c>
      <c r="E237" t="s">
        <v>788</v>
      </c>
      <c r="F237" t="s">
        <v>789</v>
      </c>
      <c r="G237" t="s">
        <v>790</v>
      </c>
      <c r="H237">
        <v>0</v>
      </c>
      <c r="I237">
        <v>0</v>
      </c>
      <c r="J237">
        <v>0.5</v>
      </c>
      <c r="K237">
        <v>0.5</v>
      </c>
      <c r="L237">
        <v>1</v>
      </c>
      <c r="M237" t="b">
        <v>1</v>
      </c>
      <c r="N237" t="b">
        <v>1</v>
      </c>
      <c r="O237" t="b">
        <v>0</v>
      </c>
      <c r="P237" t="b">
        <v>0</v>
      </c>
      <c r="Q237" t="b">
        <v>0</v>
      </c>
      <c r="R237" t="b">
        <v>1</v>
      </c>
      <c r="S237" t="b">
        <v>1</v>
      </c>
      <c r="T237">
        <v>4</v>
      </c>
      <c r="U237" s="1">
        <v>0.51826056452817038</v>
      </c>
      <c r="V237" s="1">
        <v>1.0016351319829391</v>
      </c>
      <c r="W237" s="1">
        <v>8.6005910619276935E-4</v>
      </c>
      <c r="X237">
        <v>5</v>
      </c>
      <c r="Y237" s="1">
        <v>0.5</v>
      </c>
    </row>
    <row r="238" spans="1:25">
      <c r="B238" t="str">
        <f t="shared" si="6"/>
        <v>V</v>
      </c>
      <c r="C238" t="s">
        <v>105</v>
      </c>
      <c r="D238" t="str">
        <f t="shared" si="7"/>
        <v>V-动量</v>
      </c>
      <c r="E238" t="s">
        <v>791</v>
      </c>
      <c r="F238" t="s">
        <v>792</v>
      </c>
      <c r="G238" t="s">
        <v>793</v>
      </c>
      <c r="H238">
        <v>0</v>
      </c>
      <c r="I238">
        <v>0</v>
      </c>
      <c r="J238">
        <v>0</v>
      </c>
      <c r="K238">
        <v>0.5</v>
      </c>
      <c r="L238">
        <v>0.5</v>
      </c>
      <c r="M238" t="b">
        <v>1</v>
      </c>
      <c r="N238" t="b">
        <v>1</v>
      </c>
      <c r="O238" t="b">
        <v>0</v>
      </c>
      <c r="P238" t="b">
        <v>0</v>
      </c>
      <c r="Q238" t="b">
        <v>0</v>
      </c>
      <c r="R238" t="b">
        <v>0</v>
      </c>
      <c r="S238" t="b">
        <v>1</v>
      </c>
      <c r="T238">
        <v>3</v>
      </c>
      <c r="U238" s="1">
        <v>0.51314117679317373</v>
      </c>
      <c r="V238" s="1">
        <v>0.984106668810521</v>
      </c>
      <c r="W238" s="1">
        <v>4.2541240868177588E-4</v>
      </c>
      <c r="X238">
        <v>3.5</v>
      </c>
      <c r="Y238" s="1">
        <v>0.484375</v>
      </c>
    </row>
    <row r="239" spans="1:25">
      <c r="B239" t="str">
        <f t="shared" si="6"/>
        <v>V</v>
      </c>
      <c r="C239" t="s">
        <v>105</v>
      </c>
      <c r="D239" t="str">
        <f t="shared" si="7"/>
        <v>V-动量</v>
      </c>
      <c r="E239" t="s">
        <v>794</v>
      </c>
      <c r="F239" t="s">
        <v>795</v>
      </c>
      <c r="G239" t="s">
        <v>796</v>
      </c>
      <c r="H239">
        <v>0</v>
      </c>
      <c r="I239">
        <v>0</v>
      </c>
      <c r="J239">
        <v>0</v>
      </c>
      <c r="K239">
        <v>0.5</v>
      </c>
      <c r="L239">
        <v>0.5</v>
      </c>
      <c r="M239" t="b">
        <v>1</v>
      </c>
      <c r="N239" t="b">
        <v>1</v>
      </c>
      <c r="O239" t="b">
        <v>0</v>
      </c>
      <c r="P239" t="b">
        <v>0</v>
      </c>
      <c r="Q239" t="b">
        <v>1</v>
      </c>
      <c r="R239" t="b">
        <v>0</v>
      </c>
      <c r="S239" t="b">
        <v>1</v>
      </c>
      <c r="T239">
        <v>4</v>
      </c>
      <c r="U239" s="1">
        <v>0.53057782330151426</v>
      </c>
      <c r="V239" s="1">
        <v>0.95894912563771084</v>
      </c>
      <c r="W239" s="1">
        <v>9.2366313168042754E-4</v>
      </c>
      <c r="X239">
        <v>4.5</v>
      </c>
      <c r="Y239" s="1">
        <v>0.52187499999999998</v>
      </c>
    </row>
    <row r="240" spans="1:25">
      <c r="B240" t="str">
        <f t="shared" si="6"/>
        <v>V</v>
      </c>
      <c r="C240" t="s">
        <v>105</v>
      </c>
      <c r="D240" t="str">
        <f t="shared" si="7"/>
        <v>V-动量</v>
      </c>
      <c r="E240" t="s">
        <v>797</v>
      </c>
      <c r="F240" t="s">
        <v>798</v>
      </c>
      <c r="G240" t="s">
        <v>799</v>
      </c>
      <c r="H240">
        <v>0</v>
      </c>
      <c r="I240">
        <v>0</v>
      </c>
      <c r="J240">
        <v>0</v>
      </c>
      <c r="K240">
        <v>0</v>
      </c>
      <c r="L240">
        <v>0</v>
      </c>
      <c r="M240" t="b">
        <v>1</v>
      </c>
      <c r="N240" t="b">
        <v>0</v>
      </c>
      <c r="O240" t="b">
        <v>0</v>
      </c>
      <c r="P240" t="b">
        <v>0</v>
      </c>
      <c r="Q240" t="b">
        <v>0</v>
      </c>
      <c r="R240" t="b">
        <v>1</v>
      </c>
      <c r="S240" t="b">
        <v>1</v>
      </c>
      <c r="T240">
        <v>3</v>
      </c>
      <c r="U240" s="1">
        <v>0.51061809315472373</v>
      </c>
      <c r="V240" s="1">
        <v>1.001460332845471</v>
      </c>
      <c r="W240" s="1">
        <v>5.1734107747513735E-4</v>
      </c>
      <c r="X240">
        <v>3</v>
      </c>
      <c r="Y240" s="1">
        <v>0.4770833333333333</v>
      </c>
    </row>
    <row r="241" spans="2:25">
      <c r="B241" t="str">
        <f t="shared" si="6"/>
        <v>V</v>
      </c>
      <c r="C241" t="s">
        <v>105</v>
      </c>
      <c r="D241" t="str">
        <f t="shared" si="7"/>
        <v>V-动量</v>
      </c>
      <c r="E241" t="s">
        <v>800</v>
      </c>
      <c r="F241" t="s">
        <v>801</v>
      </c>
      <c r="G241" t="s">
        <v>802</v>
      </c>
      <c r="H241">
        <v>1</v>
      </c>
      <c r="I241">
        <v>1</v>
      </c>
      <c r="J241">
        <v>0</v>
      </c>
      <c r="K241">
        <v>0</v>
      </c>
      <c r="L241">
        <v>2</v>
      </c>
      <c r="M241" t="b">
        <v>1</v>
      </c>
      <c r="N241" t="b">
        <v>0</v>
      </c>
      <c r="O241" t="b">
        <v>0</v>
      </c>
      <c r="P241" t="b">
        <v>0</v>
      </c>
      <c r="Q241" t="b">
        <v>0</v>
      </c>
      <c r="R241" t="b">
        <v>0</v>
      </c>
      <c r="S241" t="b">
        <v>0</v>
      </c>
      <c r="T241">
        <v>1</v>
      </c>
      <c r="U241" s="1">
        <v>0.50465192275463389</v>
      </c>
      <c r="V241" s="1">
        <v>0.94535306047860124</v>
      </c>
      <c r="W241" s="1">
        <v>-4.2969426091656331E-4</v>
      </c>
      <c r="X241">
        <v>3</v>
      </c>
      <c r="Y241" s="1">
        <v>0.44791666666666657</v>
      </c>
    </row>
    <row r="242" spans="2:25">
      <c r="B242" t="str">
        <f t="shared" si="6"/>
        <v>V</v>
      </c>
      <c r="C242" t="s">
        <v>105</v>
      </c>
      <c r="D242" t="str">
        <f t="shared" si="7"/>
        <v>V-动量</v>
      </c>
      <c r="E242" t="s">
        <v>803</v>
      </c>
      <c r="F242" t="s">
        <v>804</v>
      </c>
      <c r="G242" t="s">
        <v>805</v>
      </c>
      <c r="H242">
        <v>0</v>
      </c>
      <c r="I242">
        <v>0</v>
      </c>
      <c r="J242">
        <v>0.5</v>
      </c>
      <c r="K242">
        <v>0.5</v>
      </c>
      <c r="L242">
        <v>1</v>
      </c>
      <c r="M242" t="b">
        <v>1</v>
      </c>
      <c r="N242" t="b">
        <v>1</v>
      </c>
      <c r="O242" t="b">
        <v>0</v>
      </c>
      <c r="P242" t="b">
        <v>0</v>
      </c>
      <c r="Q242" t="b">
        <v>0</v>
      </c>
      <c r="R242" t="b">
        <v>0</v>
      </c>
      <c r="S242" t="b">
        <v>1</v>
      </c>
      <c r="T242">
        <v>3</v>
      </c>
      <c r="U242" s="1">
        <v>0.5183006417925351</v>
      </c>
      <c r="V242" s="1">
        <v>0.99443060621887724</v>
      </c>
      <c r="W242" s="1">
        <v>7.8825092074550523E-4</v>
      </c>
      <c r="X242">
        <v>4</v>
      </c>
      <c r="Y242" s="1">
        <v>0.47812500000000002</v>
      </c>
    </row>
    <row r="243" spans="2:25">
      <c r="B243" t="str">
        <f t="shared" si="6"/>
        <v>V</v>
      </c>
      <c r="C243" t="s">
        <v>105</v>
      </c>
      <c r="D243" t="str">
        <f t="shared" si="7"/>
        <v>V-动量</v>
      </c>
      <c r="E243" t="s">
        <v>806</v>
      </c>
      <c r="F243" t="s">
        <v>807</v>
      </c>
      <c r="G243" t="s">
        <v>808</v>
      </c>
      <c r="H243">
        <v>1</v>
      </c>
      <c r="I243">
        <v>0</v>
      </c>
      <c r="J243">
        <v>0.5</v>
      </c>
      <c r="K243">
        <v>0.5</v>
      </c>
      <c r="L243">
        <v>2</v>
      </c>
      <c r="M243" t="b">
        <v>1</v>
      </c>
      <c r="N243" t="b">
        <v>1</v>
      </c>
      <c r="O243" t="b">
        <v>0</v>
      </c>
      <c r="P243" t="b">
        <v>0</v>
      </c>
      <c r="Q243" t="b">
        <v>0</v>
      </c>
      <c r="R243" t="b">
        <v>1</v>
      </c>
      <c r="S243" t="b">
        <v>1</v>
      </c>
      <c r="T243">
        <v>4</v>
      </c>
      <c r="U243" s="1">
        <v>0.5177149538582555</v>
      </c>
      <c r="V243" s="1">
        <v>1.027039213642637</v>
      </c>
      <c r="W243" s="1">
        <v>1.142020212032949E-3</v>
      </c>
      <c r="X243">
        <v>6</v>
      </c>
      <c r="Y243" s="1">
        <v>0.51666666666666661</v>
      </c>
    </row>
    <row r="244" spans="2:25">
      <c r="B244" t="str">
        <f t="shared" si="6"/>
        <v>V</v>
      </c>
      <c r="C244" t="s">
        <v>105</v>
      </c>
      <c r="D244" t="str">
        <f t="shared" si="7"/>
        <v>V-动量</v>
      </c>
      <c r="E244" t="s">
        <v>809</v>
      </c>
      <c r="F244" t="s">
        <v>810</v>
      </c>
      <c r="G244" t="s">
        <v>811</v>
      </c>
      <c r="H244">
        <v>0</v>
      </c>
      <c r="I244">
        <v>0</v>
      </c>
      <c r="J244">
        <v>0</v>
      </c>
      <c r="K244">
        <v>0.5</v>
      </c>
      <c r="L244">
        <v>0.5</v>
      </c>
      <c r="M244" t="b">
        <v>1</v>
      </c>
      <c r="N244" t="b">
        <v>1</v>
      </c>
      <c r="O244" t="b">
        <v>0</v>
      </c>
      <c r="P244" t="b">
        <v>0</v>
      </c>
      <c r="Q244" t="b">
        <v>1</v>
      </c>
      <c r="R244" t="b">
        <v>0</v>
      </c>
      <c r="S244" t="b">
        <v>1</v>
      </c>
      <c r="T244">
        <v>4</v>
      </c>
      <c r="U244" s="1">
        <v>0.52461931032520037</v>
      </c>
      <c r="V244" s="1">
        <v>0.99705264011080919</v>
      </c>
      <c r="W244" s="1">
        <v>1.104588783866646E-3</v>
      </c>
      <c r="X244">
        <v>4.5</v>
      </c>
      <c r="Y244" s="1">
        <v>0.50416666666666665</v>
      </c>
    </row>
    <row r="245" spans="2:25">
      <c r="B245" t="str">
        <f t="shared" si="6"/>
        <v>V</v>
      </c>
      <c r="C245" t="s">
        <v>105</v>
      </c>
      <c r="D245" t="str">
        <f t="shared" si="7"/>
        <v>V-动量</v>
      </c>
      <c r="E245" t="s">
        <v>812</v>
      </c>
      <c r="F245" t="s">
        <v>813</v>
      </c>
      <c r="G245" t="s">
        <v>814</v>
      </c>
      <c r="H245">
        <v>0</v>
      </c>
      <c r="I245">
        <v>1</v>
      </c>
      <c r="J245">
        <v>0.5</v>
      </c>
      <c r="K245">
        <v>0.5</v>
      </c>
      <c r="L245">
        <v>2</v>
      </c>
      <c r="M245" t="b">
        <v>1</v>
      </c>
      <c r="N245" t="b">
        <v>1</v>
      </c>
      <c r="O245" t="b">
        <v>0</v>
      </c>
      <c r="P245" t="b">
        <v>0</v>
      </c>
      <c r="Q245" t="b">
        <v>0</v>
      </c>
      <c r="R245" t="b">
        <v>0</v>
      </c>
      <c r="S245" t="b">
        <v>1</v>
      </c>
      <c r="T245">
        <v>3</v>
      </c>
      <c r="U245" s="1">
        <v>0.51266583908737873</v>
      </c>
      <c r="V245" s="1">
        <v>0.99444139186367797</v>
      </c>
      <c r="W245" s="1">
        <v>4.9429707112212738E-4</v>
      </c>
      <c r="X245">
        <v>5</v>
      </c>
      <c r="Y245" s="1">
        <v>0.48333333333333328</v>
      </c>
    </row>
    <row r="246" spans="2:25">
      <c r="B246" t="str">
        <f t="shared" si="6"/>
        <v>V</v>
      </c>
      <c r="C246" t="s">
        <v>105</v>
      </c>
      <c r="D246" t="str">
        <f t="shared" si="7"/>
        <v>V-动量</v>
      </c>
      <c r="E246" t="s">
        <v>815</v>
      </c>
      <c r="F246" t="s">
        <v>816</v>
      </c>
      <c r="G246" t="s">
        <v>817</v>
      </c>
      <c r="H246">
        <v>0</v>
      </c>
      <c r="I246">
        <v>0</v>
      </c>
      <c r="J246">
        <v>0.5</v>
      </c>
      <c r="K246">
        <v>0.5</v>
      </c>
      <c r="L246">
        <v>1</v>
      </c>
      <c r="M246" t="b">
        <v>1</v>
      </c>
      <c r="N246" t="b">
        <v>1</v>
      </c>
      <c r="O246" t="b">
        <v>0</v>
      </c>
      <c r="P246" t="b">
        <v>0</v>
      </c>
      <c r="Q246" t="b">
        <v>1</v>
      </c>
      <c r="R246" t="b">
        <v>0</v>
      </c>
      <c r="S246" t="b">
        <v>1</v>
      </c>
      <c r="T246">
        <v>4</v>
      </c>
      <c r="U246" s="1">
        <v>0.53127087843008913</v>
      </c>
      <c r="V246" s="1">
        <v>0.99328707128410199</v>
      </c>
      <c r="W246" s="1">
        <v>1.367509111328247E-3</v>
      </c>
      <c r="X246">
        <v>5</v>
      </c>
      <c r="Y246" s="1">
        <v>0.52083333333333337</v>
      </c>
    </row>
    <row r="247" spans="2:25">
      <c r="B247" t="str">
        <f t="shared" si="6"/>
        <v>V</v>
      </c>
      <c r="C247" t="s">
        <v>105</v>
      </c>
      <c r="D247" t="str">
        <f t="shared" si="7"/>
        <v>V-动量</v>
      </c>
      <c r="E247" t="s">
        <v>818</v>
      </c>
      <c r="F247" t="s">
        <v>819</v>
      </c>
      <c r="G247" t="s">
        <v>820</v>
      </c>
      <c r="H247">
        <v>0</v>
      </c>
      <c r="I247">
        <v>1</v>
      </c>
      <c r="J247">
        <v>0.5</v>
      </c>
      <c r="K247">
        <v>0.5</v>
      </c>
      <c r="L247">
        <v>2</v>
      </c>
      <c r="M247" t="b">
        <v>1</v>
      </c>
      <c r="N247" t="b">
        <v>1</v>
      </c>
      <c r="O247" t="b">
        <v>0</v>
      </c>
      <c r="P247" t="b">
        <v>0</v>
      </c>
      <c r="Q247" t="b">
        <v>0</v>
      </c>
      <c r="R247" t="b">
        <v>0</v>
      </c>
      <c r="S247" t="b">
        <v>0</v>
      </c>
      <c r="T247">
        <v>2</v>
      </c>
      <c r="U247" s="1">
        <v>0.49663069437175089</v>
      </c>
      <c r="V247" s="1">
        <v>0.95870781291465157</v>
      </c>
      <c r="W247" s="1">
        <v>-6.5626917947466149E-4</v>
      </c>
      <c r="X247">
        <v>4</v>
      </c>
      <c r="Y247" s="1">
        <v>0.45</v>
      </c>
    </row>
    <row r="248" spans="2:25">
      <c r="B248" t="str">
        <f t="shared" si="6"/>
        <v>V</v>
      </c>
      <c r="C248" t="s">
        <v>105</v>
      </c>
      <c r="D248" t="str">
        <f t="shared" si="7"/>
        <v>V-动量</v>
      </c>
      <c r="E248" t="s">
        <v>821</v>
      </c>
      <c r="F248" t="s">
        <v>822</v>
      </c>
      <c r="G248" t="s">
        <v>823</v>
      </c>
      <c r="H248">
        <v>0</v>
      </c>
      <c r="I248">
        <v>1</v>
      </c>
      <c r="J248">
        <v>0.5</v>
      </c>
      <c r="K248">
        <v>0.5</v>
      </c>
      <c r="L248">
        <v>2</v>
      </c>
      <c r="M248" t="b">
        <v>1</v>
      </c>
      <c r="N248" t="b">
        <v>0</v>
      </c>
      <c r="O248" t="b">
        <v>0</v>
      </c>
      <c r="P248" t="b">
        <v>0</v>
      </c>
      <c r="Q248" t="b">
        <v>0</v>
      </c>
      <c r="R248" t="b">
        <v>0</v>
      </c>
      <c r="S248" t="b">
        <v>1</v>
      </c>
      <c r="T248">
        <v>2</v>
      </c>
      <c r="U248" s="1">
        <v>0.51489309809843964</v>
      </c>
      <c r="V248" s="1">
        <v>0.98017781070825216</v>
      </c>
      <c r="W248" s="1">
        <v>4.3656857495260497E-4</v>
      </c>
      <c r="X248">
        <v>4</v>
      </c>
      <c r="Y248" s="1">
        <v>0.48541666666666661</v>
      </c>
    </row>
    <row r="249" spans="2:25">
      <c r="B249" t="str">
        <f t="shared" si="6"/>
        <v>V</v>
      </c>
      <c r="C249" t="s">
        <v>105</v>
      </c>
      <c r="D249" t="str">
        <f t="shared" si="7"/>
        <v>V-动量</v>
      </c>
      <c r="E249" t="s">
        <v>824</v>
      </c>
      <c r="F249" t="s">
        <v>825</v>
      </c>
      <c r="G249" t="s">
        <v>826</v>
      </c>
      <c r="H249">
        <v>0</v>
      </c>
      <c r="I249">
        <v>0</v>
      </c>
      <c r="J249">
        <v>0.5</v>
      </c>
      <c r="K249">
        <v>0</v>
      </c>
      <c r="L249">
        <v>0.5</v>
      </c>
      <c r="M249" t="b">
        <v>1</v>
      </c>
      <c r="N249" t="b">
        <v>1</v>
      </c>
      <c r="O249" t="b">
        <v>0</v>
      </c>
      <c r="P249" t="b">
        <v>0</v>
      </c>
      <c r="Q249" t="b">
        <v>0</v>
      </c>
      <c r="R249" t="b">
        <v>0</v>
      </c>
      <c r="S249" t="b">
        <v>1</v>
      </c>
      <c r="T249">
        <v>3</v>
      </c>
      <c r="U249" s="1">
        <v>0.51336026236629073</v>
      </c>
      <c r="V249" s="1">
        <v>0.99660436774290184</v>
      </c>
      <c r="W249" s="1">
        <v>5.669091790569097E-4</v>
      </c>
      <c r="X249">
        <v>3.5</v>
      </c>
      <c r="Y249" s="1">
        <v>0.47395833333333331</v>
      </c>
    </row>
    <row r="250" spans="2:25">
      <c r="B250" t="str">
        <f t="shared" si="6"/>
        <v>V</v>
      </c>
      <c r="C250" t="s">
        <v>105</v>
      </c>
      <c r="D250" t="str">
        <f t="shared" si="7"/>
        <v>V-动量</v>
      </c>
      <c r="E250" t="s">
        <v>827</v>
      </c>
      <c r="F250" t="s">
        <v>828</v>
      </c>
      <c r="G250" t="s">
        <v>829</v>
      </c>
      <c r="H250">
        <v>0</v>
      </c>
      <c r="I250">
        <v>0</v>
      </c>
      <c r="J250">
        <v>0.5</v>
      </c>
      <c r="K250">
        <v>0.5</v>
      </c>
      <c r="L250">
        <v>1</v>
      </c>
      <c r="M250" t="b">
        <v>1</v>
      </c>
      <c r="N250" t="b">
        <v>1</v>
      </c>
      <c r="O250" t="b">
        <v>0</v>
      </c>
      <c r="P250" t="b">
        <v>0</v>
      </c>
      <c r="Q250" t="b">
        <v>0</v>
      </c>
      <c r="R250" t="b">
        <v>0</v>
      </c>
      <c r="S250" t="b">
        <v>1</v>
      </c>
      <c r="T250">
        <v>3</v>
      </c>
      <c r="U250" s="1">
        <v>0.50567503798845037</v>
      </c>
      <c r="V250" s="1">
        <v>0.99783695213949941</v>
      </c>
      <c r="W250" s="1">
        <v>2.254405037698505E-4</v>
      </c>
      <c r="X250">
        <v>4</v>
      </c>
      <c r="Y250" s="1">
        <v>0.47395833333333343</v>
      </c>
    </row>
    <row r="251" spans="2:25">
      <c r="B251" t="str">
        <f t="shared" si="6"/>
        <v>V</v>
      </c>
      <c r="C251" t="s">
        <v>105</v>
      </c>
      <c r="D251" t="str">
        <f t="shared" si="7"/>
        <v>V-动量</v>
      </c>
      <c r="E251" t="s">
        <v>830</v>
      </c>
      <c r="F251" t="s">
        <v>831</v>
      </c>
      <c r="G251" t="s">
        <v>832</v>
      </c>
      <c r="H251">
        <v>1</v>
      </c>
      <c r="I251">
        <v>0</v>
      </c>
      <c r="J251">
        <v>0.5</v>
      </c>
      <c r="K251">
        <v>0.5</v>
      </c>
      <c r="L251">
        <v>2</v>
      </c>
      <c r="M251" t="b">
        <v>1</v>
      </c>
      <c r="N251" t="b">
        <v>1</v>
      </c>
      <c r="O251" t="b">
        <v>0</v>
      </c>
      <c r="P251" t="b">
        <v>0</v>
      </c>
      <c r="Q251" t="b">
        <v>1</v>
      </c>
      <c r="R251" t="b">
        <v>0</v>
      </c>
      <c r="S251" t="b">
        <v>1</v>
      </c>
      <c r="T251">
        <v>4</v>
      </c>
      <c r="U251" s="1">
        <v>0.52951762919374423</v>
      </c>
      <c r="V251" s="1">
        <v>0.97106659431851605</v>
      </c>
      <c r="W251" s="1">
        <v>9.9944663459530445E-4</v>
      </c>
      <c r="X251">
        <v>6</v>
      </c>
      <c r="Y251" s="1">
        <v>0.50624999999999998</v>
      </c>
    </row>
    <row r="252" spans="2:25">
      <c r="B252" t="str">
        <f t="shared" si="6"/>
        <v>V</v>
      </c>
      <c r="C252" t="s">
        <v>105</v>
      </c>
      <c r="D252" t="str">
        <f t="shared" si="7"/>
        <v>V-动量</v>
      </c>
      <c r="E252" t="s">
        <v>833</v>
      </c>
      <c r="F252" t="s">
        <v>834</v>
      </c>
      <c r="G252" t="s">
        <v>835</v>
      </c>
      <c r="H252">
        <v>0</v>
      </c>
      <c r="I252">
        <v>0</v>
      </c>
      <c r="J252">
        <v>0.5</v>
      </c>
      <c r="K252">
        <v>0.5</v>
      </c>
      <c r="L252">
        <v>1</v>
      </c>
      <c r="M252" t="b">
        <v>1</v>
      </c>
      <c r="N252" t="b">
        <v>1</v>
      </c>
      <c r="O252" t="b">
        <v>0</v>
      </c>
      <c r="P252" t="b">
        <v>0</v>
      </c>
      <c r="Q252" t="b">
        <v>1</v>
      </c>
      <c r="R252" t="b">
        <v>0</v>
      </c>
      <c r="S252" t="b">
        <v>1</v>
      </c>
      <c r="T252">
        <v>4</v>
      </c>
      <c r="U252" s="1">
        <v>0.53164101579969525</v>
      </c>
      <c r="V252" s="1">
        <v>0.98146036043833162</v>
      </c>
      <c r="W252" s="1">
        <v>1.216861523371698E-3</v>
      </c>
      <c r="X252">
        <v>5</v>
      </c>
      <c r="Y252" s="1">
        <v>0.52187499999999998</v>
      </c>
    </row>
    <row r="253" spans="2:25">
      <c r="B253" t="str">
        <f t="shared" si="6"/>
        <v>V</v>
      </c>
      <c r="C253" t="s">
        <v>105</v>
      </c>
      <c r="D253" t="str">
        <f t="shared" si="7"/>
        <v>V-动量</v>
      </c>
      <c r="E253" t="s">
        <v>836</v>
      </c>
      <c r="F253" t="s">
        <v>837</v>
      </c>
      <c r="G253" t="s">
        <v>838</v>
      </c>
      <c r="H253">
        <v>0</v>
      </c>
      <c r="I253">
        <v>0</v>
      </c>
      <c r="J253">
        <v>0</v>
      </c>
      <c r="K253">
        <v>0.5</v>
      </c>
      <c r="L253">
        <v>0.5</v>
      </c>
      <c r="M253" t="b">
        <v>1</v>
      </c>
      <c r="N253" t="b">
        <v>1</v>
      </c>
      <c r="O253" t="b">
        <v>0</v>
      </c>
      <c r="P253" t="b">
        <v>0</v>
      </c>
      <c r="Q253" t="b">
        <v>1</v>
      </c>
      <c r="R253" t="b">
        <v>0</v>
      </c>
      <c r="S253" t="b">
        <v>1</v>
      </c>
      <c r="T253">
        <v>4</v>
      </c>
      <c r="U253" s="1">
        <v>0.52439939387098</v>
      </c>
      <c r="V253" s="1">
        <v>0.98670775722730097</v>
      </c>
      <c r="W253" s="1">
        <v>9.9983108717626866E-4</v>
      </c>
      <c r="X253">
        <v>4.5</v>
      </c>
      <c r="Y253" s="1">
        <v>0.5083333333333333</v>
      </c>
    </row>
    <row r="254" spans="2:25">
      <c r="B254" t="str">
        <f t="shared" si="6"/>
        <v>V</v>
      </c>
      <c r="C254" t="s">
        <v>105</v>
      </c>
      <c r="D254" t="str">
        <f t="shared" si="7"/>
        <v>V-动量</v>
      </c>
      <c r="E254" t="s">
        <v>839</v>
      </c>
      <c r="F254" t="s">
        <v>840</v>
      </c>
      <c r="G254" t="s">
        <v>841</v>
      </c>
      <c r="H254">
        <v>0</v>
      </c>
      <c r="I254">
        <v>0</v>
      </c>
      <c r="J254">
        <v>0.5</v>
      </c>
      <c r="K254">
        <v>0.5</v>
      </c>
      <c r="L254">
        <v>1</v>
      </c>
      <c r="M254" t="b">
        <v>1</v>
      </c>
      <c r="N254" t="b">
        <v>1</v>
      </c>
      <c r="O254" t="b">
        <v>0</v>
      </c>
      <c r="P254" t="b">
        <v>0</v>
      </c>
      <c r="Q254" t="b">
        <v>0</v>
      </c>
      <c r="R254" t="b">
        <v>0</v>
      </c>
      <c r="S254" t="b">
        <v>1</v>
      </c>
      <c r="T254">
        <v>3</v>
      </c>
      <c r="U254" s="1">
        <v>0.50648309448058226</v>
      </c>
      <c r="V254" s="1">
        <v>0.97680426485714666</v>
      </c>
      <c r="W254" s="1">
        <v>2.102471297212929E-5</v>
      </c>
      <c r="X254">
        <v>4</v>
      </c>
      <c r="Y254" s="1">
        <v>0.46562500000000001</v>
      </c>
    </row>
    <row r="255" spans="2:25">
      <c r="B255" t="str">
        <f t="shared" si="6"/>
        <v>V</v>
      </c>
      <c r="C255" t="s">
        <v>105</v>
      </c>
      <c r="D255" t="str">
        <f t="shared" si="7"/>
        <v>V-动量</v>
      </c>
      <c r="E255" t="s">
        <v>842</v>
      </c>
      <c r="F255" t="s">
        <v>843</v>
      </c>
      <c r="G255" t="s">
        <v>844</v>
      </c>
      <c r="H255">
        <v>0</v>
      </c>
      <c r="I255">
        <v>0</v>
      </c>
      <c r="J255">
        <v>0</v>
      </c>
      <c r="K255">
        <v>0.5</v>
      </c>
      <c r="L255">
        <v>0.5</v>
      </c>
      <c r="M255" t="b">
        <v>1</v>
      </c>
      <c r="N255" t="b">
        <v>1</v>
      </c>
      <c r="O255" t="b">
        <v>0</v>
      </c>
      <c r="P255" t="b">
        <v>0</v>
      </c>
      <c r="Q255" t="b">
        <v>1</v>
      </c>
      <c r="R255" t="b">
        <v>0</v>
      </c>
      <c r="S255" t="b">
        <v>1</v>
      </c>
      <c r="T255">
        <v>4</v>
      </c>
      <c r="U255" s="1">
        <v>0.52648635300059676</v>
      </c>
      <c r="V255" s="1">
        <v>0.95032418639813532</v>
      </c>
      <c r="W255" s="1">
        <v>6.1715633316620534E-4</v>
      </c>
      <c r="X255">
        <v>4.5</v>
      </c>
      <c r="Y255" s="1">
        <v>0.52604166666666663</v>
      </c>
    </row>
    <row r="256" spans="2:25">
      <c r="B256" t="str">
        <f t="shared" si="6"/>
        <v>V</v>
      </c>
      <c r="C256" t="s">
        <v>105</v>
      </c>
      <c r="D256" t="str">
        <f t="shared" si="7"/>
        <v>V-动量</v>
      </c>
      <c r="E256" t="s">
        <v>766</v>
      </c>
      <c r="F256" t="s">
        <v>771</v>
      </c>
      <c r="G256" t="s">
        <v>845</v>
      </c>
      <c r="H256">
        <v>1</v>
      </c>
      <c r="I256">
        <v>0</v>
      </c>
      <c r="J256">
        <v>0.5</v>
      </c>
      <c r="K256">
        <v>0.5</v>
      </c>
      <c r="L256">
        <v>2</v>
      </c>
      <c r="M256" t="b">
        <v>1</v>
      </c>
      <c r="N256" t="b">
        <v>1</v>
      </c>
      <c r="O256" t="b">
        <v>0</v>
      </c>
      <c r="P256" t="b">
        <v>0</v>
      </c>
      <c r="Q256" t="b">
        <v>1</v>
      </c>
      <c r="R256" t="b">
        <v>1</v>
      </c>
      <c r="S256" t="b">
        <v>1</v>
      </c>
      <c r="T256">
        <v>5</v>
      </c>
      <c r="U256" s="1">
        <v>0.52162411317096391</v>
      </c>
      <c r="V256" s="1">
        <v>1.0264522981907569</v>
      </c>
      <c r="W256" s="1">
        <v>1.3195052677809119E-3</v>
      </c>
      <c r="X256">
        <v>7</v>
      </c>
      <c r="Y256" s="1">
        <v>0.53020833333333328</v>
      </c>
    </row>
    <row r="257" spans="2:25">
      <c r="B257" t="str">
        <f t="shared" si="6"/>
        <v>V</v>
      </c>
      <c r="C257" t="s">
        <v>108</v>
      </c>
      <c r="D257" t="str">
        <f t="shared" si="7"/>
        <v>V-成交额</v>
      </c>
      <c r="E257" t="s">
        <v>846</v>
      </c>
      <c r="F257" t="s">
        <v>847</v>
      </c>
      <c r="G257" t="s">
        <v>848</v>
      </c>
      <c r="H257">
        <v>0</v>
      </c>
      <c r="I257">
        <v>0</v>
      </c>
      <c r="J257">
        <v>0.5</v>
      </c>
      <c r="K257">
        <v>0.5</v>
      </c>
      <c r="L257">
        <v>1</v>
      </c>
      <c r="M257" t="b">
        <v>1</v>
      </c>
      <c r="N257" t="b">
        <v>1</v>
      </c>
      <c r="O257" t="b">
        <v>0</v>
      </c>
      <c r="P257" t="b">
        <v>0</v>
      </c>
      <c r="Q257" t="b">
        <v>1</v>
      </c>
      <c r="R257" t="b">
        <v>0</v>
      </c>
      <c r="S257" t="b">
        <v>1</v>
      </c>
      <c r="T257">
        <v>4</v>
      </c>
      <c r="U257" s="1">
        <v>0.52414722108445599</v>
      </c>
      <c r="V257" s="1">
        <v>0.99751762693558965</v>
      </c>
      <c r="W257" s="1">
        <v>1.122360914030171E-3</v>
      </c>
      <c r="X257">
        <v>5</v>
      </c>
      <c r="Y257" s="1">
        <v>0.50208333333333333</v>
      </c>
    </row>
    <row r="258" spans="2:25">
      <c r="B258" t="str">
        <f t="shared" ref="B258:B321" si="8">LEFT(G258)</f>
        <v>V</v>
      </c>
      <c r="C258" t="s">
        <v>108</v>
      </c>
      <c r="D258" t="str">
        <f t="shared" ref="D258:D321" si="9">B258&amp;"-"&amp;C258</f>
        <v>V-成交额</v>
      </c>
      <c r="E258" t="s">
        <v>849</v>
      </c>
      <c r="F258" t="s">
        <v>850</v>
      </c>
      <c r="G258" t="s">
        <v>851</v>
      </c>
      <c r="H258">
        <v>0</v>
      </c>
      <c r="I258">
        <v>0</v>
      </c>
      <c r="J258">
        <v>0.5</v>
      </c>
      <c r="K258">
        <v>0.5</v>
      </c>
      <c r="L258">
        <v>1</v>
      </c>
      <c r="M258" t="b">
        <v>1</v>
      </c>
      <c r="N258" t="b">
        <v>1</v>
      </c>
      <c r="O258" t="b">
        <v>0</v>
      </c>
      <c r="P258" t="b">
        <v>0</v>
      </c>
      <c r="Q258" t="b">
        <v>1</v>
      </c>
      <c r="R258" t="b">
        <v>0</v>
      </c>
      <c r="S258" t="b">
        <v>1</v>
      </c>
      <c r="T258">
        <v>4</v>
      </c>
      <c r="U258" s="1">
        <v>0.52696384641927041</v>
      </c>
      <c r="V258" s="1">
        <v>0.99662523753230625</v>
      </c>
      <c r="W258" s="1">
        <v>1.178623687061303E-3</v>
      </c>
      <c r="X258">
        <v>5</v>
      </c>
      <c r="Y258" s="1">
        <v>0.5</v>
      </c>
    </row>
    <row r="259" spans="2:25">
      <c r="B259" t="str">
        <f t="shared" si="8"/>
        <v>V</v>
      </c>
      <c r="C259" t="s">
        <v>111</v>
      </c>
      <c r="D259" t="str">
        <f t="shared" si="9"/>
        <v>V-估值</v>
      </c>
      <c r="E259" t="s">
        <v>852</v>
      </c>
      <c r="F259" t="s">
        <v>853</v>
      </c>
      <c r="G259" t="s">
        <v>854</v>
      </c>
      <c r="H259">
        <v>0</v>
      </c>
      <c r="I259">
        <v>1</v>
      </c>
      <c r="J259">
        <v>0</v>
      </c>
      <c r="K259">
        <v>0.5</v>
      </c>
      <c r="L259">
        <v>1.5</v>
      </c>
      <c r="M259" t="b">
        <v>1</v>
      </c>
      <c r="N259" t="b">
        <v>1</v>
      </c>
      <c r="O259" t="b">
        <v>0</v>
      </c>
      <c r="P259" t="b">
        <v>0</v>
      </c>
      <c r="Q259" t="b">
        <v>1</v>
      </c>
      <c r="R259" t="b">
        <v>0</v>
      </c>
      <c r="S259" t="b">
        <v>1</v>
      </c>
      <c r="T259">
        <v>4</v>
      </c>
      <c r="U259" s="1">
        <v>0.52542680242313655</v>
      </c>
      <c r="V259" s="1">
        <v>0.98898274981701528</v>
      </c>
      <c r="W259" s="1">
        <v>1.0365921702459231E-3</v>
      </c>
      <c r="X259">
        <v>5.5</v>
      </c>
      <c r="Y259" s="1">
        <v>0.49895833333333328</v>
      </c>
    </row>
    <row r="260" spans="2:25">
      <c r="B260" t="str">
        <f t="shared" si="8"/>
        <v>V</v>
      </c>
      <c r="C260" t="s">
        <v>111</v>
      </c>
      <c r="D260" t="str">
        <f t="shared" si="9"/>
        <v>V-估值</v>
      </c>
      <c r="E260" t="s">
        <v>855</v>
      </c>
      <c r="F260" t="s">
        <v>856</v>
      </c>
      <c r="G260" t="s">
        <v>857</v>
      </c>
      <c r="H260">
        <v>1</v>
      </c>
      <c r="I260">
        <v>0</v>
      </c>
      <c r="J260">
        <v>0</v>
      </c>
      <c r="K260">
        <v>0</v>
      </c>
      <c r="L260">
        <v>1</v>
      </c>
      <c r="M260" t="b">
        <v>1</v>
      </c>
      <c r="N260" t="b">
        <v>1</v>
      </c>
      <c r="O260" t="b">
        <v>0</v>
      </c>
      <c r="P260" t="b">
        <v>0</v>
      </c>
      <c r="Q260" t="b">
        <v>0</v>
      </c>
      <c r="R260" t="b">
        <v>0</v>
      </c>
      <c r="S260" t="b">
        <v>1</v>
      </c>
      <c r="T260">
        <v>3</v>
      </c>
      <c r="U260" s="1">
        <v>0.5167214732124521</v>
      </c>
      <c r="V260" s="1">
        <v>0.9807164864635638</v>
      </c>
      <c r="W260" s="1">
        <v>5.3233861804988128E-4</v>
      </c>
      <c r="X260">
        <v>4</v>
      </c>
      <c r="Y260" s="1">
        <v>0.4604166666666667</v>
      </c>
    </row>
    <row r="261" spans="2:25">
      <c r="B261" t="str">
        <f t="shared" si="8"/>
        <v>V</v>
      </c>
      <c r="C261" t="s">
        <v>111</v>
      </c>
      <c r="D261" t="str">
        <f t="shared" si="9"/>
        <v>V-估值</v>
      </c>
      <c r="E261" t="s">
        <v>858</v>
      </c>
      <c r="F261" t="s">
        <v>859</v>
      </c>
      <c r="G261" t="s">
        <v>860</v>
      </c>
      <c r="H261">
        <v>0</v>
      </c>
      <c r="I261">
        <v>1</v>
      </c>
      <c r="J261">
        <v>0.5</v>
      </c>
      <c r="K261">
        <v>0.5</v>
      </c>
      <c r="L261">
        <v>2</v>
      </c>
      <c r="M261" t="b">
        <v>1</v>
      </c>
      <c r="N261" t="b">
        <v>1</v>
      </c>
      <c r="O261" t="b">
        <v>0</v>
      </c>
      <c r="P261" t="b">
        <v>0</v>
      </c>
      <c r="Q261" t="b">
        <v>1</v>
      </c>
      <c r="R261" t="b">
        <v>1</v>
      </c>
      <c r="S261" t="b">
        <v>1</v>
      </c>
      <c r="T261">
        <v>5</v>
      </c>
      <c r="U261" s="1">
        <v>0.527230640888951</v>
      </c>
      <c r="V261" s="1">
        <v>1.0173214352774891</v>
      </c>
      <c r="W261" s="1">
        <v>1.3838097374978149E-3</v>
      </c>
      <c r="X261">
        <v>7</v>
      </c>
      <c r="Y261" s="1">
        <v>0.50625000000000009</v>
      </c>
    </row>
    <row r="262" spans="2:25">
      <c r="B262" t="str">
        <f t="shared" si="8"/>
        <v>V</v>
      </c>
      <c r="C262" t="s">
        <v>111</v>
      </c>
      <c r="D262" t="str">
        <f t="shared" si="9"/>
        <v>V-估值</v>
      </c>
      <c r="E262" t="s">
        <v>861</v>
      </c>
      <c r="F262" t="s">
        <v>859</v>
      </c>
      <c r="G262" t="s">
        <v>862</v>
      </c>
      <c r="H262">
        <v>0</v>
      </c>
      <c r="I262">
        <v>1</v>
      </c>
      <c r="J262">
        <v>0</v>
      </c>
      <c r="K262">
        <v>0</v>
      </c>
      <c r="L262">
        <v>1</v>
      </c>
      <c r="M262" t="b">
        <v>1</v>
      </c>
      <c r="N262" t="b">
        <v>1</v>
      </c>
      <c r="O262" t="b">
        <v>0</v>
      </c>
      <c r="P262" t="b">
        <v>0</v>
      </c>
      <c r="Q262" t="b">
        <v>1</v>
      </c>
      <c r="R262" t="b">
        <v>0</v>
      </c>
      <c r="S262" t="b">
        <v>1</v>
      </c>
      <c r="T262">
        <v>4</v>
      </c>
      <c r="U262" s="1">
        <v>0.52256389712140883</v>
      </c>
      <c r="V262" s="1">
        <v>0.99993649838487753</v>
      </c>
      <c r="W262" s="1">
        <v>9.6560010500536459E-4</v>
      </c>
      <c r="X262">
        <v>5</v>
      </c>
      <c r="Y262" s="1">
        <v>0.47395833333333331</v>
      </c>
    </row>
    <row r="263" spans="2:25">
      <c r="B263" t="str">
        <f t="shared" si="8"/>
        <v>V</v>
      </c>
      <c r="C263" t="s">
        <v>111</v>
      </c>
      <c r="D263" t="str">
        <f t="shared" si="9"/>
        <v>V-估值</v>
      </c>
      <c r="E263" t="s">
        <v>863</v>
      </c>
      <c r="F263">
        <v>0</v>
      </c>
      <c r="G263" t="s">
        <v>864</v>
      </c>
      <c r="H263">
        <v>0</v>
      </c>
      <c r="I263">
        <v>0</v>
      </c>
      <c r="J263">
        <v>0.5</v>
      </c>
      <c r="K263">
        <v>0.5</v>
      </c>
      <c r="L263">
        <v>1</v>
      </c>
      <c r="M263" t="b">
        <v>1</v>
      </c>
      <c r="N263" t="b">
        <v>1</v>
      </c>
      <c r="O263" t="b">
        <v>0</v>
      </c>
      <c r="P263" t="b">
        <v>0</v>
      </c>
      <c r="Q263" t="b">
        <v>1</v>
      </c>
      <c r="R263" t="b">
        <v>0</v>
      </c>
      <c r="S263" t="b">
        <v>1</v>
      </c>
      <c r="T263">
        <v>4</v>
      </c>
      <c r="U263" s="1">
        <v>0.52989004689864105</v>
      </c>
      <c r="V263" s="1">
        <v>0.98747709384791982</v>
      </c>
      <c r="W263" s="1">
        <v>1.221744762890552E-3</v>
      </c>
      <c r="X263">
        <v>5</v>
      </c>
      <c r="Y263" s="1">
        <v>0.52708333333333324</v>
      </c>
    </row>
    <row r="264" spans="2:25">
      <c r="B264" t="str">
        <f t="shared" si="8"/>
        <v>V</v>
      </c>
      <c r="C264" t="s">
        <v>111</v>
      </c>
      <c r="D264" t="str">
        <f t="shared" si="9"/>
        <v>V-估值</v>
      </c>
      <c r="E264" t="s">
        <v>865</v>
      </c>
      <c r="F264">
        <v>0</v>
      </c>
      <c r="G264" t="s">
        <v>866</v>
      </c>
      <c r="H264">
        <v>0</v>
      </c>
      <c r="I264">
        <v>1</v>
      </c>
      <c r="J264">
        <v>0.5</v>
      </c>
      <c r="K264">
        <v>0</v>
      </c>
      <c r="L264">
        <v>1.5</v>
      </c>
      <c r="M264" t="b">
        <v>1</v>
      </c>
      <c r="N264" t="b">
        <v>0</v>
      </c>
      <c r="O264" t="b">
        <v>0</v>
      </c>
      <c r="P264" t="b">
        <v>0</v>
      </c>
      <c r="Q264" t="b">
        <v>0</v>
      </c>
      <c r="R264" t="b">
        <v>0</v>
      </c>
      <c r="S264" t="b">
        <v>0</v>
      </c>
      <c r="T264">
        <v>1</v>
      </c>
      <c r="U264" s="1">
        <v>0.50464360653851603</v>
      </c>
      <c r="V264" s="1">
        <v>0.96561688088794573</v>
      </c>
      <c r="W264" s="1">
        <v>-1.9109887002512619E-4</v>
      </c>
      <c r="X264">
        <v>2.5</v>
      </c>
      <c r="Y264" s="1">
        <v>0.48749999999999999</v>
      </c>
    </row>
    <row r="265" spans="2:25">
      <c r="B265" t="str">
        <f t="shared" si="8"/>
        <v>V</v>
      </c>
      <c r="C265" t="s">
        <v>111</v>
      </c>
      <c r="D265" t="str">
        <f t="shared" si="9"/>
        <v>V-估值</v>
      </c>
      <c r="E265" t="s">
        <v>867</v>
      </c>
      <c r="F265">
        <v>0</v>
      </c>
      <c r="G265" t="s">
        <v>868</v>
      </c>
      <c r="H265">
        <v>1</v>
      </c>
      <c r="I265">
        <v>0</v>
      </c>
      <c r="J265">
        <v>0.5</v>
      </c>
      <c r="K265">
        <v>0.5</v>
      </c>
      <c r="L265">
        <v>2</v>
      </c>
      <c r="M265" t="b">
        <v>1</v>
      </c>
      <c r="N265" t="b">
        <v>1</v>
      </c>
      <c r="O265" t="b">
        <v>0</v>
      </c>
      <c r="P265" t="b">
        <v>0</v>
      </c>
      <c r="Q265" t="b">
        <v>1</v>
      </c>
      <c r="R265" t="b">
        <v>0</v>
      </c>
      <c r="S265" t="b">
        <v>1</v>
      </c>
      <c r="T265">
        <v>4</v>
      </c>
      <c r="U265" s="1">
        <v>0.52339275260948659</v>
      </c>
      <c r="V265" s="1">
        <v>0.96736444315600578</v>
      </c>
      <c r="W265" s="1">
        <v>6.8940835313371018E-4</v>
      </c>
      <c r="X265">
        <v>6</v>
      </c>
      <c r="Y265" s="1">
        <v>0.48645833333333333</v>
      </c>
    </row>
    <row r="266" spans="2:25">
      <c r="B266" t="str">
        <f t="shared" si="8"/>
        <v>V</v>
      </c>
      <c r="C266" t="s">
        <v>111</v>
      </c>
      <c r="D266" t="str">
        <f t="shared" si="9"/>
        <v>V-估值</v>
      </c>
      <c r="E266" t="s">
        <v>869</v>
      </c>
      <c r="F266" t="s">
        <v>870</v>
      </c>
      <c r="G266" t="s">
        <v>871</v>
      </c>
      <c r="H266">
        <v>0</v>
      </c>
      <c r="I266">
        <v>0</v>
      </c>
      <c r="J266">
        <v>0.5</v>
      </c>
      <c r="K266">
        <v>0</v>
      </c>
      <c r="L266">
        <v>0.5</v>
      </c>
      <c r="M266" t="b">
        <v>0</v>
      </c>
      <c r="N266" t="b">
        <v>1</v>
      </c>
      <c r="O266" t="b">
        <v>0</v>
      </c>
      <c r="P266" t="b">
        <v>0</v>
      </c>
      <c r="Q266" t="b">
        <v>1</v>
      </c>
      <c r="R266" t="b">
        <v>0</v>
      </c>
      <c r="S266" t="b">
        <v>1</v>
      </c>
      <c r="T266">
        <v>3</v>
      </c>
      <c r="U266" s="1">
        <v>0.52440429771648012</v>
      </c>
      <c r="V266" s="1">
        <v>0.98858428749638594</v>
      </c>
      <c r="W266" s="1">
        <v>1.0661592368144479E-3</v>
      </c>
      <c r="X266">
        <v>3.5</v>
      </c>
      <c r="Y266" s="1">
        <v>0.51041666666666663</v>
      </c>
    </row>
    <row r="267" spans="2:25">
      <c r="B267" t="str">
        <f t="shared" si="8"/>
        <v>V</v>
      </c>
      <c r="C267" t="s">
        <v>111</v>
      </c>
      <c r="D267" t="str">
        <f t="shared" si="9"/>
        <v>V-估值</v>
      </c>
      <c r="E267" t="s">
        <v>872</v>
      </c>
      <c r="F267" t="s">
        <v>873</v>
      </c>
      <c r="G267" t="s">
        <v>874</v>
      </c>
      <c r="H267">
        <v>0</v>
      </c>
      <c r="I267">
        <v>0</v>
      </c>
      <c r="J267">
        <v>0.5</v>
      </c>
      <c r="K267">
        <v>0.5</v>
      </c>
      <c r="L267">
        <v>1</v>
      </c>
      <c r="M267" t="b">
        <v>0</v>
      </c>
      <c r="N267" t="b">
        <v>1</v>
      </c>
      <c r="O267" t="b">
        <v>0</v>
      </c>
      <c r="P267" t="b">
        <v>0</v>
      </c>
      <c r="Q267" t="b">
        <v>1</v>
      </c>
      <c r="R267" t="b">
        <v>1</v>
      </c>
      <c r="S267" t="b">
        <v>1</v>
      </c>
      <c r="T267">
        <v>4</v>
      </c>
      <c r="U267" s="1">
        <v>0.5289601027694496</v>
      </c>
      <c r="V267" s="1">
        <v>1.012297750072207</v>
      </c>
      <c r="W267" s="1">
        <v>1.470599928818104E-3</v>
      </c>
      <c r="X267">
        <v>5</v>
      </c>
      <c r="Y267" s="1">
        <v>0.51875000000000004</v>
      </c>
    </row>
    <row r="268" spans="2:25">
      <c r="B268" t="str">
        <f t="shared" si="8"/>
        <v>V</v>
      </c>
      <c r="C268" t="s">
        <v>111</v>
      </c>
      <c r="D268" t="str">
        <f t="shared" si="9"/>
        <v>V-估值</v>
      </c>
      <c r="E268" t="s">
        <v>875</v>
      </c>
      <c r="F268" t="s">
        <v>876</v>
      </c>
      <c r="G268" t="s">
        <v>877</v>
      </c>
      <c r="H268">
        <v>0</v>
      </c>
      <c r="I268">
        <v>1</v>
      </c>
      <c r="J268">
        <v>0.5</v>
      </c>
      <c r="K268">
        <v>0.5</v>
      </c>
      <c r="L268">
        <v>2</v>
      </c>
      <c r="M268" t="b">
        <v>1</v>
      </c>
      <c r="N268" t="b">
        <v>1</v>
      </c>
      <c r="O268" t="b">
        <v>0</v>
      </c>
      <c r="P268" t="b">
        <v>0</v>
      </c>
      <c r="Q268" t="b">
        <v>0</v>
      </c>
      <c r="R268" t="b">
        <v>1</v>
      </c>
      <c r="S268" t="b">
        <v>1</v>
      </c>
      <c r="T268">
        <v>4</v>
      </c>
      <c r="U268" s="1">
        <v>0.51903882992144501</v>
      </c>
      <c r="V268" s="1">
        <v>1.0219733090740459</v>
      </c>
      <c r="W268" s="1">
        <v>1.1254787490582001E-3</v>
      </c>
      <c r="X268">
        <v>6</v>
      </c>
      <c r="Y268" s="1">
        <v>0.49791666666666667</v>
      </c>
    </row>
    <row r="269" spans="2:25">
      <c r="B269" t="str">
        <f t="shared" si="8"/>
        <v>V</v>
      </c>
      <c r="C269" t="s">
        <v>111</v>
      </c>
      <c r="D269" t="str">
        <f t="shared" si="9"/>
        <v>V-估值</v>
      </c>
      <c r="E269" t="s">
        <v>878</v>
      </c>
      <c r="F269" t="s">
        <v>879</v>
      </c>
      <c r="G269" t="s">
        <v>880</v>
      </c>
      <c r="H269">
        <v>0</v>
      </c>
      <c r="I269">
        <v>1</v>
      </c>
      <c r="J269">
        <v>0.5</v>
      </c>
      <c r="K269">
        <v>0.5</v>
      </c>
      <c r="L269">
        <v>2</v>
      </c>
      <c r="M269" t="b">
        <v>1</v>
      </c>
      <c r="N269" t="b">
        <v>1</v>
      </c>
      <c r="O269" t="b">
        <v>0</v>
      </c>
      <c r="P269" t="b">
        <v>0</v>
      </c>
      <c r="Q269" t="b">
        <v>0</v>
      </c>
      <c r="R269" t="b">
        <v>0</v>
      </c>
      <c r="S269" t="b">
        <v>0</v>
      </c>
      <c r="T269">
        <v>2</v>
      </c>
      <c r="U269" s="1">
        <v>0.49901167283788811</v>
      </c>
      <c r="V269" s="1">
        <v>0.96572422074058151</v>
      </c>
      <c r="W269" s="1">
        <v>-4.4910760823861358E-4</v>
      </c>
      <c r="X269">
        <v>4</v>
      </c>
      <c r="Y269" s="1">
        <v>0.43958333333333338</v>
      </c>
    </row>
    <row r="270" spans="2:25">
      <c r="B270" t="str">
        <f t="shared" si="8"/>
        <v>V</v>
      </c>
      <c r="C270" t="s">
        <v>111</v>
      </c>
      <c r="D270" t="str">
        <f t="shared" si="9"/>
        <v>V-估值</v>
      </c>
      <c r="E270" t="s">
        <v>881</v>
      </c>
      <c r="F270" t="s">
        <v>882</v>
      </c>
      <c r="G270" t="s">
        <v>883</v>
      </c>
      <c r="H270">
        <v>1</v>
      </c>
      <c r="I270">
        <v>1</v>
      </c>
      <c r="J270">
        <v>0</v>
      </c>
      <c r="K270">
        <v>0</v>
      </c>
      <c r="L270">
        <v>2</v>
      </c>
      <c r="M270" t="b">
        <v>1</v>
      </c>
      <c r="N270" t="b">
        <v>0</v>
      </c>
      <c r="O270" t="b">
        <v>0</v>
      </c>
      <c r="P270" t="b">
        <v>0</v>
      </c>
      <c r="Q270" t="b">
        <v>0</v>
      </c>
      <c r="R270" t="b">
        <v>1</v>
      </c>
      <c r="S270" t="b">
        <v>1</v>
      </c>
      <c r="T270">
        <v>3</v>
      </c>
      <c r="U270" s="1">
        <v>0.50720120498663834</v>
      </c>
      <c r="V270" s="1">
        <v>1.014624172128225</v>
      </c>
      <c r="W270" s="1">
        <v>4.9222635511988013E-4</v>
      </c>
      <c r="X270">
        <v>5</v>
      </c>
      <c r="Y270" s="1">
        <v>0.484375</v>
      </c>
    </row>
    <row r="271" spans="2:25">
      <c r="B271" t="str">
        <f t="shared" si="8"/>
        <v>V</v>
      </c>
      <c r="C271" t="s">
        <v>111</v>
      </c>
      <c r="D271" t="str">
        <f t="shared" si="9"/>
        <v>V-估值</v>
      </c>
      <c r="E271" t="s">
        <v>884</v>
      </c>
      <c r="F271" t="s">
        <v>885</v>
      </c>
      <c r="G271" t="s">
        <v>886</v>
      </c>
      <c r="H271">
        <v>1</v>
      </c>
      <c r="I271">
        <v>0</v>
      </c>
      <c r="J271">
        <v>0.5</v>
      </c>
      <c r="K271">
        <v>0.5</v>
      </c>
      <c r="L271">
        <v>2</v>
      </c>
      <c r="M271" t="b">
        <v>1</v>
      </c>
      <c r="N271" t="b">
        <v>1</v>
      </c>
      <c r="O271" t="b">
        <v>0</v>
      </c>
      <c r="P271" t="b">
        <v>0</v>
      </c>
      <c r="Q271" t="b">
        <v>1</v>
      </c>
      <c r="R271" t="b">
        <v>0</v>
      </c>
      <c r="S271" t="b">
        <v>1</v>
      </c>
      <c r="T271">
        <v>4</v>
      </c>
      <c r="U271" s="1">
        <v>0.52979248587124816</v>
      </c>
      <c r="V271" s="1">
        <v>0.98986079958597573</v>
      </c>
      <c r="W271" s="1">
        <v>1.2361344820609129E-3</v>
      </c>
      <c r="X271">
        <v>6</v>
      </c>
      <c r="Y271" s="1">
        <v>0.49895833333333339</v>
      </c>
    </row>
    <row r="272" spans="2:25">
      <c r="B272" t="str">
        <f t="shared" si="8"/>
        <v>V</v>
      </c>
      <c r="C272" t="s">
        <v>111</v>
      </c>
      <c r="D272" t="str">
        <f t="shared" si="9"/>
        <v>V-估值</v>
      </c>
      <c r="E272" t="s">
        <v>887</v>
      </c>
      <c r="F272" t="s">
        <v>888</v>
      </c>
      <c r="G272" t="s">
        <v>889</v>
      </c>
      <c r="H272">
        <v>0</v>
      </c>
      <c r="I272">
        <v>0</v>
      </c>
      <c r="J272">
        <v>0.5</v>
      </c>
      <c r="K272">
        <v>0.5</v>
      </c>
      <c r="L272">
        <v>1</v>
      </c>
      <c r="M272" t="b">
        <v>1</v>
      </c>
      <c r="N272" t="b">
        <v>1</v>
      </c>
      <c r="O272" t="b">
        <v>0</v>
      </c>
      <c r="P272" t="b">
        <v>0</v>
      </c>
      <c r="Q272" t="b">
        <v>1</v>
      </c>
      <c r="R272" t="b">
        <v>0</v>
      </c>
      <c r="S272" t="b">
        <v>1</v>
      </c>
      <c r="T272">
        <v>4</v>
      </c>
      <c r="U272" s="1">
        <v>0.53392905663740242</v>
      </c>
      <c r="V272" s="1">
        <v>0.98401561920604297</v>
      </c>
      <c r="W272" s="1">
        <v>1.3737461045234781E-3</v>
      </c>
      <c r="X272">
        <v>5</v>
      </c>
      <c r="Y272" s="1">
        <v>0.51354166666666656</v>
      </c>
    </row>
    <row r="273" spans="2:25">
      <c r="B273" t="str">
        <f t="shared" si="8"/>
        <v>V</v>
      </c>
      <c r="C273" t="s">
        <v>111</v>
      </c>
      <c r="D273" t="str">
        <f t="shared" si="9"/>
        <v>V-估值</v>
      </c>
      <c r="E273" t="s">
        <v>890</v>
      </c>
      <c r="F273" t="s">
        <v>891</v>
      </c>
      <c r="G273" t="s">
        <v>892</v>
      </c>
      <c r="H273">
        <v>1</v>
      </c>
      <c r="I273">
        <v>0</v>
      </c>
      <c r="J273">
        <v>0.5</v>
      </c>
      <c r="K273">
        <v>0.5</v>
      </c>
      <c r="L273">
        <v>2</v>
      </c>
      <c r="M273" t="b">
        <v>1</v>
      </c>
      <c r="N273" t="b">
        <v>1</v>
      </c>
      <c r="O273" t="b">
        <v>1</v>
      </c>
      <c r="P273" t="b">
        <v>0</v>
      </c>
      <c r="Q273" t="b">
        <v>1</v>
      </c>
      <c r="R273" t="b">
        <v>0</v>
      </c>
      <c r="S273" t="b">
        <v>1</v>
      </c>
      <c r="T273">
        <v>5</v>
      </c>
      <c r="U273" s="1">
        <v>0.53936323446518586</v>
      </c>
      <c r="V273" s="1">
        <v>0.98613785714138147</v>
      </c>
      <c r="W273" s="1">
        <v>1.6397412247915861E-3</v>
      </c>
      <c r="X273">
        <v>7</v>
      </c>
      <c r="Y273" s="1">
        <v>0.52708333333333324</v>
      </c>
    </row>
    <row r="274" spans="2:25">
      <c r="B274" t="str">
        <f t="shared" si="8"/>
        <v>V</v>
      </c>
      <c r="C274" t="s">
        <v>111</v>
      </c>
      <c r="D274" t="str">
        <f t="shared" si="9"/>
        <v>V-估值</v>
      </c>
      <c r="E274" t="s">
        <v>893</v>
      </c>
      <c r="F274" t="s">
        <v>894</v>
      </c>
      <c r="G274" t="s">
        <v>895</v>
      </c>
      <c r="H274">
        <v>0</v>
      </c>
      <c r="I274">
        <v>1</v>
      </c>
      <c r="J274">
        <v>0</v>
      </c>
      <c r="K274">
        <v>0</v>
      </c>
      <c r="L274">
        <v>1</v>
      </c>
      <c r="M274" t="b">
        <v>1</v>
      </c>
      <c r="N274" t="b">
        <v>1</v>
      </c>
      <c r="O274" t="b">
        <v>0</v>
      </c>
      <c r="P274" t="b">
        <v>0</v>
      </c>
      <c r="Q274" t="b">
        <v>0</v>
      </c>
      <c r="R274" t="b">
        <v>1</v>
      </c>
      <c r="S274" t="b">
        <v>1</v>
      </c>
      <c r="T274">
        <v>4</v>
      </c>
      <c r="U274" s="1">
        <v>0.5103365513309911</v>
      </c>
      <c r="V274" s="1">
        <v>1.011295653613437</v>
      </c>
      <c r="W274" s="1">
        <v>5.8845638457277543E-4</v>
      </c>
      <c r="X274">
        <v>5</v>
      </c>
      <c r="Y274" s="1">
        <v>0.49375000000000002</v>
      </c>
    </row>
    <row r="275" spans="2:25">
      <c r="B275" t="str">
        <f t="shared" si="8"/>
        <v>V</v>
      </c>
      <c r="C275" t="s">
        <v>111</v>
      </c>
      <c r="D275" t="str">
        <f t="shared" si="9"/>
        <v>V-估值</v>
      </c>
      <c r="E275" t="s">
        <v>896</v>
      </c>
      <c r="F275" t="s">
        <v>897</v>
      </c>
      <c r="G275" t="s">
        <v>898</v>
      </c>
      <c r="H275">
        <v>1</v>
      </c>
      <c r="I275">
        <v>1</v>
      </c>
      <c r="J275">
        <v>0</v>
      </c>
      <c r="K275">
        <v>0</v>
      </c>
      <c r="L275">
        <v>2</v>
      </c>
      <c r="M275" t="b">
        <v>1</v>
      </c>
      <c r="N275" t="b">
        <v>0</v>
      </c>
      <c r="O275" t="b">
        <v>0</v>
      </c>
      <c r="P275" t="b">
        <v>0</v>
      </c>
      <c r="Q275" t="b">
        <v>0</v>
      </c>
      <c r="R275" t="b">
        <v>1</v>
      </c>
      <c r="S275" t="b">
        <v>1</v>
      </c>
      <c r="T275">
        <v>3</v>
      </c>
      <c r="U275" s="1">
        <v>0.50411635167217228</v>
      </c>
      <c r="V275" s="1">
        <v>1.010622535209537</v>
      </c>
      <c r="W275" s="1">
        <v>3.0189876576950942E-4</v>
      </c>
      <c r="X275">
        <v>5</v>
      </c>
      <c r="Y275" s="1">
        <v>0.47083333333333333</v>
      </c>
    </row>
    <row r="276" spans="2:25">
      <c r="B276" t="str">
        <f t="shared" si="8"/>
        <v>V</v>
      </c>
      <c r="C276" t="s">
        <v>111</v>
      </c>
      <c r="D276" t="str">
        <f t="shared" si="9"/>
        <v>V-估值</v>
      </c>
      <c r="E276" t="s">
        <v>899</v>
      </c>
      <c r="F276" t="s">
        <v>900</v>
      </c>
      <c r="G276" t="s">
        <v>901</v>
      </c>
      <c r="H276">
        <v>0</v>
      </c>
      <c r="I276">
        <v>0</v>
      </c>
      <c r="J276">
        <v>0</v>
      </c>
      <c r="K276">
        <v>0</v>
      </c>
      <c r="L276">
        <v>0</v>
      </c>
      <c r="M276" t="b">
        <v>1</v>
      </c>
      <c r="N276" t="b">
        <v>1</v>
      </c>
      <c r="O276" t="b">
        <v>0</v>
      </c>
      <c r="P276" t="b">
        <v>0</v>
      </c>
      <c r="Q276" t="b">
        <v>0</v>
      </c>
      <c r="R276" t="b">
        <v>1</v>
      </c>
      <c r="S276" t="b">
        <v>1</v>
      </c>
      <c r="T276">
        <v>4</v>
      </c>
      <c r="U276" s="1">
        <v>0.51768911243476778</v>
      </c>
      <c r="V276" s="1">
        <v>1.0032901289007861</v>
      </c>
      <c r="W276" s="1">
        <v>8.5566706675749944E-4</v>
      </c>
      <c r="X276">
        <v>4</v>
      </c>
      <c r="Y276" s="1">
        <v>0.49479166666666669</v>
      </c>
    </row>
    <row r="277" spans="2:25">
      <c r="B277" t="str">
        <f t="shared" si="8"/>
        <v>V</v>
      </c>
      <c r="C277" t="s">
        <v>111</v>
      </c>
      <c r="D277" t="str">
        <f t="shared" si="9"/>
        <v>V-估值</v>
      </c>
      <c r="E277" t="s">
        <v>902</v>
      </c>
      <c r="F277" t="s">
        <v>903</v>
      </c>
      <c r="G277" t="s">
        <v>904</v>
      </c>
      <c r="H277">
        <v>1</v>
      </c>
      <c r="I277">
        <v>1</v>
      </c>
      <c r="J277">
        <v>0.5</v>
      </c>
      <c r="K277">
        <v>0.5</v>
      </c>
      <c r="L277">
        <v>3</v>
      </c>
      <c r="M277" t="b">
        <v>1</v>
      </c>
      <c r="N277" t="b">
        <v>1</v>
      </c>
      <c r="O277" t="b">
        <v>0</v>
      </c>
      <c r="P277" t="b">
        <v>0</v>
      </c>
      <c r="Q277" t="b">
        <v>0</v>
      </c>
      <c r="R277" t="b">
        <v>1</v>
      </c>
      <c r="S277" t="b">
        <v>1</v>
      </c>
      <c r="T277">
        <v>4</v>
      </c>
      <c r="U277" s="1">
        <v>0.50618618543184679</v>
      </c>
      <c r="V277" s="1">
        <v>1.02255881363567</v>
      </c>
      <c r="W277" s="1">
        <v>5.437772522103989E-4</v>
      </c>
      <c r="X277">
        <v>7</v>
      </c>
      <c r="Y277" s="1">
        <v>0.49583333333333329</v>
      </c>
    </row>
    <row r="278" spans="2:25">
      <c r="B278" t="str">
        <f t="shared" si="8"/>
        <v>V</v>
      </c>
      <c r="C278" t="s">
        <v>111</v>
      </c>
      <c r="D278" t="str">
        <f t="shared" si="9"/>
        <v>V-估值</v>
      </c>
      <c r="E278" t="s">
        <v>905</v>
      </c>
      <c r="F278" t="s">
        <v>906</v>
      </c>
      <c r="G278" t="s">
        <v>907</v>
      </c>
      <c r="H278">
        <v>0</v>
      </c>
      <c r="I278">
        <v>0</v>
      </c>
      <c r="J278">
        <v>0.5</v>
      </c>
      <c r="K278">
        <v>0.5</v>
      </c>
      <c r="L278">
        <v>1</v>
      </c>
      <c r="M278" t="b">
        <v>1</v>
      </c>
      <c r="N278" t="b">
        <v>1</v>
      </c>
      <c r="O278" t="b">
        <v>0</v>
      </c>
      <c r="P278" t="b">
        <v>0</v>
      </c>
      <c r="Q278" t="b">
        <v>1</v>
      </c>
      <c r="R278" t="b">
        <v>0</v>
      </c>
      <c r="S278" t="b">
        <v>1</v>
      </c>
      <c r="T278">
        <v>4</v>
      </c>
      <c r="U278" s="1">
        <v>0.52542955008770653</v>
      </c>
      <c r="V278" s="1">
        <v>0.96495602186053175</v>
      </c>
      <c r="W278" s="1">
        <v>7.3397912489914642E-4</v>
      </c>
      <c r="X278">
        <v>5</v>
      </c>
      <c r="Y278" s="1">
        <v>0.48541666666666672</v>
      </c>
    </row>
    <row r="279" spans="2:25">
      <c r="B279" t="str">
        <f t="shared" si="8"/>
        <v>V</v>
      </c>
      <c r="C279" t="s">
        <v>111</v>
      </c>
      <c r="D279" t="str">
        <f t="shared" si="9"/>
        <v>V-估值</v>
      </c>
      <c r="E279" t="s">
        <v>908</v>
      </c>
      <c r="F279" t="s">
        <v>909</v>
      </c>
      <c r="G279" t="s">
        <v>910</v>
      </c>
      <c r="H279">
        <v>0</v>
      </c>
      <c r="I279">
        <v>0</v>
      </c>
      <c r="J279">
        <v>0</v>
      </c>
      <c r="K279">
        <v>0</v>
      </c>
      <c r="L279">
        <v>0</v>
      </c>
      <c r="M279" t="b">
        <v>1</v>
      </c>
      <c r="N279" t="b">
        <v>1</v>
      </c>
      <c r="O279" t="b">
        <v>0</v>
      </c>
      <c r="P279" t="b">
        <v>0</v>
      </c>
      <c r="Q279" t="b">
        <v>1</v>
      </c>
      <c r="R279" t="b">
        <v>0</v>
      </c>
      <c r="S279" t="b">
        <v>1</v>
      </c>
      <c r="T279">
        <v>4</v>
      </c>
      <c r="U279" s="1">
        <v>0.52241387265425132</v>
      </c>
      <c r="V279" s="1">
        <v>0.98682703543878125</v>
      </c>
      <c r="W279" s="1">
        <v>8.5661220340446762E-4</v>
      </c>
      <c r="X279">
        <v>4</v>
      </c>
      <c r="Y279" s="1">
        <v>0.4760416666666667</v>
      </c>
    </row>
    <row r="280" spans="2:25">
      <c r="B280" t="str">
        <f t="shared" si="8"/>
        <v>V</v>
      </c>
      <c r="C280" t="s">
        <v>111</v>
      </c>
      <c r="D280" t="str">
        <f t="shared" si="9"/>
        <v>V-估值</v>
      </c>
      <c r="E280" t="s">
        <v>911</v>
      </c>
      <c r="F280" t="s">
        <v>912</v>
      </c>
      <c r="G280" t="s">
        <v>913</v>
      </c>
      <c r="H280">
        <v>0</v>
      </c>
      <c r="I280">
        <v>1</v>
      </c>
      <c r="J280">
        <v>0</v>
      </c>
      <c r="K280">
        <v>0</v>
      </c>
      <c r="L280">
        <v>1</v>
      </c>
      <c r="M280" t="b">
        <v>1</v>
      </c>
      <c r="N280" t="b">
        <v>1</v>
      </c>
      <c r="O280" t="b">
        <v>0</v>
      </c>
      <c r="P280" t="b">
        <v>0</v>
      </c>
      <c r="Q280" t="b">
        <v>0</v>
      </c>
      <c r="R280" t="b">
        <v>1</v>
      </c>
      <c r="S280" t="b">
        <v>1</v>
      </c>
      <c r="T280">
        <v>4</v>
      </c>
      <c r="U280" s="1">
        <v>0.5103365513309911</v>
      </c>
      <c r="V280" s="1">
        <v>1.011295653613437</v>
      </c>
      <c r="W280" s="1">
        <v>5.8845638457277543E-4</v>
      </c>
      <c r="X280">
        <v>5</v>
      </c>
      <c r="Y280" s="1">
        <v>0.49375000000000002</v>
      </c>
    </row>
    <row r="281" spans="2:25">
      <c r="B281" t="str">
        <f t="shared" si="8"/>
        <v>V</v>
      </c>
      <c r="C281" t="s">
        <v>111</v>
      </c>
      <c r="D281" t="str">
        <f t="shared" si="9"/>
        <v>V-估值</v>
      </c>
      <c r="E281" t="s">
        <v>914</v>
      </c>
      <c r="F281" t="s">
        <v>915</v>
      </c>
      <c r="G281" t="s">
        <v>916</v>
      </c>
      <c r="H281">
        <v>0</v>
      </c>
      <c r="I281">
        <v>0</v>
      </c>
      <c r="J281">
        <v>0.5</v>
      </c>
      <c r="K281">
        <v>0.5</v>
      </c>
      <c r="L281">
        <v>1</v>
      </c>
      <c r="M281" t="b">
        <v>1</v>
      </c>
      <c r="N281" t="b">
        <v>1</v>
      </c>
      <c r="O281" t="b">
        <v>0</v>
      </c>
      <c r="P281" t="b">
        <v>0</v>
      </c>
      <c r="Q281" t="b">
        <v>1</v>
      </c>
      <c r="R281" t="b">
        <v>0</v>
      </c>
      <c r="S281" t="b">
        <v>1</v>
      </c>
      <c r="T281">
        <v>4</v>
      </c>
      <c r="U281" s="1">
        <v>0.53491931919005276</v>
      </c>
      <c r="V281" s="1">
        <v>0.97936288799516336</v>
      </c>
      <c r="W281" s="1">
        <v>1.3512678739897061E-3</v>
      </c>
      <c r="X281">
        <v>5</v>
      </c>
      <c r="Y281" s="1">
        <v>0.52604166666666674</v>
      </c>
    </row>
    <row r="282" spans="2:25">
      <c r="B282" t="str">
        <f t="shared" si="8"/>
        <v>V</v>
      </c>
      <c r="C282" t="s">
        <v>111</v>
      </c>
      <c r="D282" t="str">
        <f t="shared" si="9"/>
        <v>V-估值</v>
      </c>
      <c r="E282" t="s">
        <v>917</v>
      </c>
      <c r="F282" t="s">
        <v>918</v>
      </c>
      <c r="G282" t="s">
        <v>919</v>
      </c>
      <c r="H282">
        <v>0</v>
      </c>
      <c r="I282">
        <v>0</v>
      </c>
      <c r="J282">
        <v>0.5</v>
      </c>
      <c r="K282">
        <v>0.5</v>
      </c>
      <c r="L282">
        <v>1</v>
      </c>
      <c r="M282" t="b">
        <v>1</v>
      </c>
      <c r="N282" t="b">
        <v>1</v>
      </c>
      <c r="O282" t="b">
        <v>0</v>
      </c>
      <c r="P282" t="b">
        <v>0</v>
      </c>
      <c r="Q282" t="b">
        <v>1</v>
      </c>
      <c r="R282" t="b">
        <v>0</v>
      </c>
      <c r="S282" t="b">
        <v>1</v>
      </c>
      <c r="T282">
        <v>4</v>
      </c>
      <c r="U282" s="1">
        <v>0.52751760283482896</v>
      </c>
      <c r="V282" s="1">
        <v>0.98768045253748138</v>
      </c>
      <c r="W282" s="1">
        <v>1.123165159307924E-3</v>
      </c>
      <c r="X282">
        <v>5</v>
      </c>
      <c r="Y282" s="1">
        <v>0.49687500000000001</v>
      </c>
    </row>
    <row r="283" spans="2:25">
      <c r="B283" t="str">
        <f t="shared" si="8"/>
        <v>V</v>
      </c>
      <c r="C283" t="s">
        <v>111</v>
      </c>
      <c r="D283" t="str">
        <f t="shared" si="9"/>
        <v>V-估值</v>
      </c>
      <c r="E283" t="s">
        <v>920</v>
      </c>
      <c r="F283" t="s">
        <v>921</v>
      </c>
      <c r="G283" t="s">
        <v>922</v>
      </c>
      <c r="H283">
        <v>1</v>
      </c>
      <c r="I283">
        <v>0</v>
      </c>
      <c r="J283">
        <v>0.5</v>
      </c>
      <c r="K283">
        <v>0.5</v>
      </c>
      <c r="L283">
        <v>2</v>
      </c>
      <c r="M283" t="b">
        <v>1</v>
      </c>
      <c r="N283" t="b">
        <v>1</v>
      </c>
      <c r="O283" t="b">
        <v>1</v>
      </c>
      <c r="P283" t="b">
        <v>0</v>
      </c>
      <c r="Q283" t="b">
        <v>1</v>
      </c>
      <c r="R283" t="b">
        <v>0</v>
      </c>
      <c r="S283" t="b">
        <v>1</v>
      </c>
      <c r="T283">
        <v>5</v>
      </c>
      <c r="U283" s="1">
        <v>0.53936071653386841</v>
      </c>
      <c r="V283" s="1">
        <v>0.98227448392366912</v>
      </c>
      <c r="W283" s="1">
        <v>1.600477097182224E-3</v>
      </c>
      <c r="X283">
        <v>7</v>
      </c>
      <c r="Y283" s="1">
        <v>0.51979166666666665</v>
      </c>
    </row>
    <row r="284" spans="2:25">
      <c r="B284" t="str">
        <f t="shared" si="8"/>
        <v>V</v>
      </c>
      <c r="C284" t="s">
        <v>111</v>
      </c>
      <c r="D284" t="str">
        <f t="shared" si="9"/>
        <v>V-估值</v>
      </c>
      <c r="E284" t="s">
        <v>923</v>
      </c>
      <c r="F284" t="s">
        <v>924</v>
      </c>
      <c r="G284" t="s">
        <v>925</v>
      </c>
      <c r="H284">
        <v>0</v>
      </c>
      <c r="I284">
        <v>0</v>
      </c>
      <c r="J284">
        <v>0</v>
      </c>
      <c r="K284">
        <v>0</v>
      </c>
      <c r="L284">
        <v>0</v>
      </c>
      <c r="M284" t="b">
        <v>1</v>
      </c>
      <c r="N284" t="b">
        <v>0</v>
      </c>
      <c r="O284" t="b">
        <v>0</v>
      </c>
      <c r="P284" t="b">
        <v>0</v>
      </c>
      <c r="Q284" t="b">
        <v>0</v>
      </c>
      <c r="R284" t="b">
        <v>1</v>
      </c>
      <c r="S284" t="b">
        <v>1</v>
      </c>
      <c r="T284">
        <v>3</v>
      </c>
      <c r="U284" s="1">
        <v>0.4995737996839707</v>
      </c>
      <c r="V284" s="1">
        <v>1.0020398233250991</v>
      </c>
      <c r="W284" s="1">
        <v>5.4430796120399916E-6</v>
      </c>
      <c r="X284">
        <v>3</v>
      </c>
      <c r="Y284" s="1">
        <v>0.46250000000000002</v>
      </c>
    </row>
    <row r="285" spans="2:25">
      <c r="B285" t="str">
        <f t="shared" si="8"/>
        <v>V</v>
      </c>
      <c r="C285" t="s">
        <v>111</v>
      </c>
      <c r="D285" t="str">
        <f t="shared" si="9"/>
        <v>V-估值</v>
      </c>
      <c r="E285" t="s">
        <v>926</v>
      </c>
      <c r="F285" t="s">
        <v>927</v>
      </c>
      <c r="G285" t="s">
        <v>928</v>
      </c>
      <c r="H285">
        <v>0</v>
      </c>
      <c r="I285">
        <v>1</v>
      </c>
      <c r="J285">
        <v>0</v>
      </c>
      <c r="K285">
        <v>0</v>
      </c>
      <c r="L285">
        <v>1</v>
      </c>
      <c r="M285" t="b">
        <v>1</v>
      </c>
      <c r="N285" t="b">
        <v>1</v>
      </c>
      <c r="O285" t="b">
        <v>0</v>
      </c>
      <c r="P285" t="b">
        <v>0</v>
      </c>
      <c r="Q285" t="b">
        <v>0</v>
      </c>
      <c r="R285" t="b">
        <v>0</v>
      </c>
      <c r="S285" t="b">
        <v>1</v>
      </c>
      <c r="T285">
        <v>3</v>
      </c>
      <c r="U285" s="1">
        <v>0.51826231084116281</v>
      </c>
      <c r="V285" s="1">
        <v>0.98827914841969844</v>
      </c>
      <c r="W285" s="1">
        <v>7.2518717005330311E-4</v>
      </c>
      <c r="X285">
        <v>4</v>
      </c>
      <c r="Y285" s="1">
        <v>0.49479166666666669</v>
      </c>
    </row>
    <row r="286" spans="2:25">
      <c r="B286" t="str">
        <f t="shared" si="8"/>
        <v>V</v>
      </c>
      <c r="C286" t="s">
        <v>111</v>
      </c>
      <c r="D286" t="str">
        <f t="shared" si="9"/>
        <v>V-估值</v>
      </c>
      <c r="E286" t="s">
        <v>929</v>
      </c>
      <c r="F286" t="s">
        <v>930</v>
      </c>
      <c r="G286" t="s">
        <v>931</v>
      </c>
      <c r="H286">
        <v>0</v>
      </c>
      <c r="I286">
        <v>1</v>
      </c>
      <c r="J286">
        <v>0.5</v>
      </c>
      <c r="K286">
        <v>0</v>
      </c>
      <c r="L286">
        <v>1.5</v>
      </c>
      <c r="M286" t="b">
        <v>1</v>
      </c>
      <c r="N286" t="b">
        <v>1</v>
      </c>
      <c r="O286" t="b">
        <v>0</v>
      </c>
      <c r="P286" t="b">
        <v>0</v>
      </c>
      <c r="Q286" t="b">
        <v>1</v>
      </c>
      <c r="R286" t="b">
        <v>1</v>
      </c>
      <c r="S286" t="b">
        <v>1</v>
      </c>
      <c r="T286">
        <v>5</v>
      </c>
      <c r="U286" s="1">
        <v>0.52029156390473952</v>
      </c>
      <c r="V286" s="1">
        <v>1.0133258280144961</v>
      </c>
      <c r="W286" s="1">
        <v>1.060965010088114E-3</v>
      </c>
      <c r="X286">
        <v>6.5</v>
      </c>
      <c r="Y286" s="1">
        <v>0.50625000000000009</v>
      </c>
    </row>
    <row r="287" spans="2:25">
      <c r="B287" t="str">
        <f t="shared" si="8"/>
        <v>V</v>
      </c>
      <c r="C287" t="s">
        <v>111</v>
      </c>
      <c r="D287" t="str">
        <f t="shared" si="9"/>
        <v>V-估值</v>
      </c>
      <c r="E287" t="s">
        <v>932</v>
      </c>
      <c r="F287" t="s">
        <v>933</v>
      </c>
      <c r="G287" t="s">
        <v>934</v>
      </c>
      <c r="H287">
        <v>0</v>
      </c>
      <c r="I287">
        <v>0</v>
      </c>
      <c r="J287">
        <v>0</v>
      </c>
      <c r="K287">
        <v>0.5</v>
      </c>
      <c r="L287">
        <v>0.5</v>
      </c>
      <c r="M287" t="b">
        <v>1</v>
      </c>
      <c r="N287" t="b">
        <v>1</v>
      </c>
      <c r="O287" t="b">
        <v>0</v>
      </c>
      <c r="P287" t="b">
        <v>0</v>
      </c>
      <c r="Q287" t="b">
        <v>1</v>
      </c>
      <c r="R287" t="b">
        <v>0</v>
      </c>
      <c r="S287" t="b">
        <v>1</v>
      </c>
      <c r="T287">
        <v>4</v>
      </c>
      <c r="U287" s="1">
        <v>0.52285993423996724</v>
      </c>
      <c r="V287" s="1">
        <v>0.99188986348815966</v>
      </c>
      <c r="W287" s="1">
        <v>9.3504819296295579E-4</v>
      </c>
      <c r="X287">
        <v>4.5</v>
      </c>
      <c r="Y287" s="1">
        <v>0.50208333333333344</v>
      </c>
    </row>
    <row r="288" spans="2:25">
      <c r="B288" t="str">
        <f t="shared" si="8"/>
        <v>V</v>
      </c>
      <c r="C288" t="s">
        <v>111</v>
      </c>
      <c r="D288" t="str">
        <f t="shared" si="9"/>
        <v>V-估值</v>
      </c>
      <c r="E288" t="s">
        <v>935</v>
      </c>
      <c r="F288" t="s">
        <v>936</v>
      </c>
      <c r="G288" t="s">
        <v>937</v>
      </c>
      <c r="H288">
        <v>1</v>
      </c>
      <c r="I288">
        <v>1</v>
      </c>
      <c r="J288">
        <v>0.5</v>
      </c>
      <c r="K288">
        <v>0.5</v>
      </c>
      <c r="L288">
        <v>3</v>
      </c>
      <c r="M288" t="b">
        <v>1</v>
      </c>
      <c r="N288" t="b">
        <v>1</v>
      </c>
      <c r="O288" t="b">
        <v>1</v>
      </c>
      <c r="P288" t="b">
        <v>0</v>
      </c>
      <c r="Q288" t="b">
        <v>1</v>
      </c>
      <c r="R288" t="b">
        <v>1</v>
      </c>
      <c r="S288" t="b">
        <v>1</v>
      </c>
      <c r="T288">
        <v>6</v>
      </c>
      <c r="U288" s="1">
        <v>0.53063550837496576</v>
      </c>
      <c r="V288" s="1">
        <v>1.029478426174165</v>
      </c>
      <c r="W288" s="1">
        <v>1.7468697333612501E-3</v>
      </c>
      <c r="X288">
        <v>9</v>
      </c>
      <c r="Y288" s="1">
        <v>0.51979166666666665</v>
      </c>
    </row>
    <row r="289" spans="2:25">
      <c r="B289" t="str">
        <f t="shared" si="8"/>
        <v>V</v>
      </c>
      <c r="C289" t="s">
        <v>111</v>
      </c>
      <c r="D289" t="str">
        <f t="shared" si="9"/>
        <v>V-估值</v>
      </c>
      <c r="E289" t="s">
        <v>938</v>
      </c>
      <c r="F289" t="s">
        <v>939</v>
      </c>
      <c r="G289" t="s">
        <v>940</v>
      </c>
      <c r="H289">
        <v>1</v>
      </c>
      <c r="I289">
        <v>1</v>
      </c>
      <c r="J289">
        <v>0.5</v>
      </c>
      <c r="K289">
        <v>0.5</v>
      </c>
      <c r="L289">
        <v>3</v>
      </c>
      <c r="M289" t="b">
        <v>1</v>
      </c>
      <c r="N289" t="b">
        <v>1</v>
      </c>
      <c r="O289" t="b">
        <v>1</v>
      </c>
      <c r="P289" t="b">
        <v>0</v>
      </c>
      <c r="Q289" t="b">
        <v>1</v>
      </c>
      <c r="R289" t="b">
        <v>1</v>
      </c>
      <c r="S289" t="b">
        <v>1</v>
      </c>
      <c r="T289">
        <v>6</v>
      </c>
      <c r="U289" s="1">
        <v>0.5329262216702485</v>
      </c>
      <c r="V289" s="1">
        <v>1.0117940153574869</v>
      </c>
      <c r="W289" s="1">
        <v>1.6792312618539871E-3</v>
      </c>
      <c r="X289">
        <v>9</v>
      </c>
      <c r="Y289" s="1">
        <v>0.52083333333333326</v>
      </c>
    </row>
    <row r="290" spans="2:25">
      <c r="B290" t="str">
        <f t="shared" si="8"/>
        <v>V</v>
      </c>
      <c r="C290" t="s">
        <v>111</v>
      </c>
      <c r="D290" t="str">
        <f t="shared" si="9"/>
        <v>V-估值</v>
      </c>
      <c r="E290" t="s">
        <v>941</v>
      </c>
      <c r="F290" t="s">
        <v>942</v>
      </c>
      <c r="G290" t="s">
        <v>943</v>
      </c>
      <c r="H290">
        <v>0</v>
      </c>
      <c r="I290">
        <v>0</v>
      </c>
      <c r="J290">
        <v>0.5</v>
      </c>
      <c r="K290">
        <v>0.5</v>
      </c>
      <c r="L290">
        <v>1</v>
      </c>
      <c r="M290" t="b">
        <v>1</v>
      </c>
      <c r="N290" t="b">
        <v>1</v>
      </c>
      <c r="O290" t="b">
        <v>0</v>
      </c>
      <c r="P290" t="b">
        <v>0</v>
      </c>
      <c r="Q290" t="b">
        <v>0</v>
      </c>
      <c r="R290" t="b">
        <v>0</v>
      </c>
      <c r="S290" t="b">
        <v>1</v>
      </c>
      <c r="T290">
        <v>3</v>
      </c>
      <c r="U290" s="1">
        <v>0.51869724928341243</v>
      </c>
      <c r="V290" s="1">
        <v>0.97359625636527913</v>
      </c>
      <c r="W290" s="1">
        <v>5.0878240317274448E-4</v>
      </c>
      <c r="X290">
        <v>4</v>
      </c>
      <c r="Y290" s="1">
        <v>0.47395833333333331</v>
      </c>
    </row>
    <row r="291" spans="2:25">
      <c r="B291" t="str">
        <f t="shared" si="8"/>
        <v>V</v>
      </c>
      <c r="C291" t="s">
        <v>111</v>
      </c>
      <c r="D291" t="str">
        <f t="shared" si="9"/>
        <v>V-估值</v>
      </c>
      <c r="E291" t="s">
        <v>944</v>
      </c>
      <c r="F291" t="s">
        <v>945</v>
      </c>
      <c r="G291" t="s">
        <v>946</v>
      </c>
      <c r="H291">
        <v>0</v>
      </c>
      <c r="I291">
        <v>0</v>
      </c>
      <c r="J291">
        <v>0</v>
      </c>
      <c r="K291">
        <v>0</v>
      </c>
      <c r="L291">
        <v>0</v>
      </c>
      <c r="M291" t="b">
        <v>1</v>
      </c>
      <c r="N291" t="b">
        <v>1</v>
      </c>
      <c r="O291" t="b">
        <v>0</v>
      </c>
      <c r="P291" t="b">
        <v>0</v>
      </c>
      <c r="Q291" t="b">
        <v>1</v>
      </c>
      <c r="R291" t="b">
        <v>0</v>
      </c>
      <c r="S291" t="b">
        <v>1</v>
      </c>
      <c r="T291">
        <v>4</v>
      </c>
      <c r="U291" s="1">
        <v>0.5299945357090986</v>
      </c>
      <c r="V291" s="1">
        <v>0.98512135282329916</v>
      </c>
      <c r="W291" s="1">
        <v>1.1321794851306831E-3</v>
      </c>
      <c r="X291">
        <v>4</v>
      </c>
      <c r="Y291" s="1">
        <v>0.5</v>
      </c>
    </row>
    <row r="292" spans="2:25">
      <c r="B292" t="str">
        <f t="shared" si="8"/>
        <v>V</v>
      </c>
      <c r="C292" t="s">
        <v>111</v>
      </c>
      <c r="D292" t="str">
        <f t="shared" si="9"/>
        <v>V-估值</v>
      </c>
      <c r="E292" t="s">
        <v>947</v>
      </c>
      <c r="F292" t="s">
        <v>948</v>
      </c>
      <c r="G292" t="s">
        <v>949</v>
      </c>
      <c r="H292">
        <v>0</v>
      </c>
      <c r="I292">
        <v>1</v>
      </c>
      <c r="J292">
        <v>0.5</v>
      </c>
      <c r="K292">
        <v>0.5</v>
      </c>
      <c r="L292">
        <v>2</v>
      </c>
      <c r="M292" t="b">
        <v>1</v>
      </c>
      <c r="N292" t="b">
        <v>1</v>
      </c>
      <c r="O292" t="b">
        <v>0</v>
      </c>
      <c r="P292" t="b">
        <v>0</v>
      </c>
      <c r="Q292" t="b">
        <v>0</v>
      </c>
      <c r="R292" t="b">
        <v>0</v>
      </c>
      <c r="S292" t="b">
        <v>0</v>
      </c>
      <c r="T292">
        <v>2</v>
      </c>
      <c r="U292" s="1">
        <v>0.49279429276818032</v>
      </c>
      <c r="V292" s="1">
        <v>0.96736149907009827</v>
      </c>
      <c r="W292" s="1">
        <v>-7.2118366505393122E-4</v>
      </c>
      <c r="X292">
        <v>4</v>
      </c>
      <c r="Y292" s="1">
        <v>0.4291666666666667</v>
      </c>
    </row>
    <row r="293" spans="2:25">
      <c r="B293" t="str">
        <f t="shared" si="8"/>
        <v>V</v>
      </c>
      <c r="C293" t="s">
        <v>111</v>
      </c>
      <c r="D293" t="str">
        <f t="shared" si="9"/>
        <v>V-估值</v>
      </c>
      <c r="E293" t="s">
        <v>950</v>
      </c>
      <c r="F293" t="s">
        <v>951</v>
      </c>
      <c r="G293" t="s">
        <v>952</v>
      </c>
      <c r="H293">
        <v>0</v>
      </c>
      <c r="I293">
        <v>0</v>
      </c>
      <c r="J293">
        <v>0.5</v>
      </c>
      <c r="K293">
        <v>0.5</v>
      </c>
      <c r="L293">
        <v>1</v>
      </c>
      <c r="M293" t="b">
        <v>1</v>
      </c>
      <c r="N293" t="b">
        <v>1</v>
      </c>
      <c r="O293" t="b">
        <v>0</v>
      </c>
      <c r="P293" t="b">
        <v>0</v>
      </c>
      <c r="Q293" t="b">
        <v>1</v>
      </c>
      <c r="R293" t="b">
        <v>1</v>
      </c>
      <c r="S293" t="b">
        <v>1</v>
      </c>
      <c r="T293">
        <v>5</v>
      </c>
      <c r="U293" s="1">
        <v>0.52643721369336605</v>
      </c>
      <c r="V293" s="1">
        <v>1.0015500240870729</v>
      </c>
      <c r="W293" s="1">
        <v>1.237023494604412E-3</v>
      </c>
      <c r="X293">
        <v>6</v>
      </c>
      <c r="Y293" s="1">
        <v>0.51875000000000004</v>
      </c>
    </row>
    <row r="294" spans="2:25">
      <c r="B294" t="str">
        <f t="shared" si="8"/>
        <v>V</v>
      </c>
      <c r="C294" t="s">
        <v>111</v>
      </c>
      <c r="D294" t="str">
        <f t="shared" si="9"/>
        <v>V-估值</v>
      </c>
      <c r="E294" t="s">
        <v>953</v>
      </c>
      <c r="F294" t="s">
        <v>954</v>
      </c>
      <c r="G294" t="s">
        <v>955</v>
      </c>
      <c r="H294">
        <v>0</v>
      </c>
      <c r="I294">
        <v>0</v>
      </c>
      <c r="J294">
        <v>0</v>
      </c>
      <c r="K294">
        <v>0</v>
      </c>
      <c r="L294">
        <v>0</v>
      </c>
      <c r="M294" t="b">
        <v>1</v>
      </c>
      <c r="N294" t="b">
        <v>1</v>
      </c>
      <c r="O294" t="b">
        <v>0</v>
      </c>
      <c r="P294" t="b">
        <v>0</v>
      </c>
      <c r="Q294" t="b">
        <v>1</v>
      </c>
      <c r="R294" t="b">
        <v>0</v>
      </c>
      <c r="S294" t="b">
        <v>1</v>
      </c>
      <c r="T294">
        <v>4</v>
      </c>
      <c r="U294" s="1">
        <v>0.52549573151196127</v>
      </c>
      <c r="V294" s="1">
        <v>0.95851307731853197</v>
      </c>
      <c r="W294" s="1">
        <v>6.7111616270144718E-4</v>
      </c>
      <c r="X294">
        <v>4</v>
      </c>
      <c r="Y294" s="1">
        <v>0.4958333333333334</v>
      </c>
    </row>
    <row r="295" spans="2:25">
      <c r="B295" t="str">
        <f t="shared" si="8"/>
        <v>V</v>
      </c>
      <c r="C295" t="s">
        <v>111</v>
      </c>
      <c r="D295" t="str">
        <f t="shared" si="9"/>
        <v>V-估值</v>
      </c>
      <c r="E295" t="s">
        <v>956</v>
      </c>
      <c r="F295" t="s">
        <v>957</v>
      </c>
      <c r="G295" t="s">
        <v>958</v>
      </c>
      <c r="H295">
        <v>1</v>
      </c>
      <c r="I295">
        <v>0</v>
      </c>
      <c r="J295">
        <v>0</v>
      </c>
      <c r="K295">
        <v>0</v>
      </c>
      <c r="L295">
        <v>1</v>
      </c>
      <c r="M295" t="b">
        <v>1</v>
      </c>
      <c r="N295" t="b">
        <v>1</v>
      </c>
      <c r="O295" t="b">
        <v>0</v>
      </c>
      <c r="P295" t="b">
        <v>0</v>
      </c>
      <c r="Q295" t="b">
        <v>0</v>
      </c>
      <c r="R295" t="b">
        <v>1</v>
      </c>
      <c r="S295" t="b">
        <v>1</v>
      </c>
      <c r="T295">
        <v>4</v>
      </c>
      <c r="U295" s="1">
        <v>0.51238943065924902</v>
      </c>
      <c r="V295" s="1">
        <v>1.00070777487028</v>
      </c>
      <c r="W295" s="1">
        <v>5.8376637702610597E-4</v>
      </c>
      <c r="X295">
        <v>5</v>
      </c>
      <c r="Y295" s="1">
        <v>0.49062499999999998</v>
      </c>
    </row>
    <row r="296" spans="2:25">
      <c r="B296" t="str">
        <f t="shared" si="8"/>
        <v>V</v>
      </c>
      <c r="C296" t="s">
        <v>111</v>
      </c>
      <c r="D296" t="str">
        <f t="shared" si="9"/>
        <v>V-估值</v>
      </c>
      <c r="E296" t="s">
        <v>959</v>
      </c>
      <c r="F296" t="s">
        <v>960</v>
      </c>
      <c r="G296" t="s">
        <v>961</v>
      </c>
      <c r="H296">
        <v>0</v>
      </c>
      <c r="I296">
        <v>0</v>
      </c>
      <c r="J296">
        <v>0</v>
      </c>
      <c r="K296">
        <v>0.5</v>
      </c>
      <c r="L296">
        <v>0.5</v>
      </c>
      <c r="M296" t="b">
        <v>1</v>
      </c>
      <c r="N296" t="b">
        <v>1</v>
      </c>
      <c r="O296" t="b">
        <v>0</v>
      </c>
      <c r="P296" t="b">
        <v>0</v>
      </c>
      <c r="Q296" t="b">
        <v>0</v>
      </c>
      <c r="R296" t="b">
        <v>1</v>
      </c>
      <c r="S296" t="b">
        <v>1</v>
      </c>
      <c r="T296">
        <v>4</v>
      </c>
      <c r="U296" s="1">
        <v>0.51956487772861659</v>
      </c>
      <c r="V296" s="1">
        <v>1.0204137812272349</v>
      </c>
      <c r="W296" s="1">
        <v>1.1485709801603179E-3</v>
      </c>
      <c r="X296">
        <v>4.5</v>
      </c>
      <c r="Y296" s="1">
        <v>0.50416666666666665</v>
      </c>
    </row>
    <row r="297" spans="2:25">
      <c r="B297" t="str">
        <f t="shared" si="8"/>
        <v>V</v>
      </c>
      <c r="C297" t="s">
        <v>111</v>
      </c>
      <c r="D297" t="str">
        <f t="shared" si="9"/>
        <v>V-估值</v>
      </c>
      <c r="E297" t="s">
        <v>962</v>
      </c>
      <c r="F297" t="s">
        <v>963</v>
      </c>
      <c r="G297" t="s">
        <v>964</v>
      </c>
      <c r="H297">
        <v>0</v>
      </c>
      <c r="I297">
        <v>1</v>
      </c>
      <c r="J297">
        <v>0.5</v>
      </c>
      <c r="K297">
        <v>0</v>
      </c>
      <c r="L297">
        <v>1.5</v>
      </c>
      <c r="M297" t="b">
        <v>0</v>
      </c>
      <c r="N297" t="b">
        <v>1</v>
      </c>
      <c r="O297" t="b">
        <v>0</v>
      </c>
      <c r="P297" t="b">
        <v>1</v>
      </c>
      <c r="Q297" t="b">
        <v>1</v>
      </c>
      <c r="R297" t="b">
        <v>1</v>
      </c>
      <c r="S297" t="b">
        <v>1</v>
      </c>
      <c r="T297">
        <v>5</v>
      </c>
      <c r="U297" s="1">
        <v>0.52523614961038234</v>
      </c>
      <c r="V297" s="1">
        <v>1.0236061921750861</v>
      </c>
      <c r="W297" s="1">
        <v>1.2893061658773709E-3</v>
      </c>
      <c r="X297">
        <v>6.5</v>
      </c>
      <c r="Y297" s="1">
        <v>0.515625</v>
      </c>
    </row>
    <row r="298" spans="2:25">
      <c r="B298" t="str">
        <f t="shared" si="8"/>
        <v>V</v>
      </c>
      <c r="C298" t="s">
        <v>111</v>
      </c>
      <c r="D298" t="str">
        <f t="shared" si="9"/>
        <v>V-估值</v>
      </c>
      <c r="E298" t="s">
        <v>962</v>
      </c>
      <c r="F298" t="s">
        <v>965</v>
      </c>
      <c r="G298" t="s">
        <v>966</v>
      </c>
      <c r="H298">
        <v>0</v>
      </c>
      <c r="I298">
        <v>0</v>
      </c>
      <c r="J298">
        <v>0</v>
      </c>
      <c r="K298">
        <v>0.5</v>
      </c>
      <c r="L298">
        <v>0.5</v>
      </c>
      <c r="M298" t="b">
        <v>0</v>
      </c>
      <c r="N298" t="b">
        <v>1</v>
      </c>
      <c r="O298" t="b">
        <v>0</v>
      </c>
      <c r="P298" t="b">
        <v>0</v>
      </c>
      <c r="Q298" t="b">
        <v>1</v>
      </c>
      <c r="R298" t="b">
        <v>0</v>
      </c>
      <c r="S298" t="b">
        <v>1</v>
      </c>
      <c r="T298">
        <v>3</v>
      </c>
      <c r="U298" s="1">
        <v>0.52259261364628062</v>
      </c>
      <c r="V298" s="1">
        <v>0.97923841169680459</v>
      </c>
      <c r="W298" s="1">
        <v>8.5951672098571184E-4</v>
      </c>
      <c r="X298">
        <v>3.5</v>
      </c>
      <c r="Y298" s="1">
        <v>0.50520833333333337</v>
      </c>
    </row>
    <row r="299" spans="2:25">
      <c r="B299" t="str">
        <f t="shared" si="8"/>
        <v>V</v>
      </c>
      <c r="C299" t="s">
        <v>114</v>
      </c>
      <c r="D299" t="str">
        <f t="shared" si="9"/>
        <v>V-拥挤度</v>
      </c>
      <c r="E299" t="s">
        <v>967</v>
      </c>
      <c r="F299">
        <v>0</v>
      </c>
      <c r="G299" t="s">
        <v>968</v>
      </c>
      <c r="H299">
        <v>0</v>
      </c>
      <c r="I299">
        <v>1</v>
      </c>
      <c r="J299">
        <v>0.5</v>
      </c>
      <c r="K299">
        <v>0.5</v>
      </c>
      <c r="L299">
        <v>2</v>
      </c>
      <c r="M299" t="b">
        <v>1</v>
      </c>
      <c r="N299" t="b">
        <v>1</v>
      </c>
      <c r="O299" t="b">
        <v>0</v>
      </c>
      <c r="P299" t="b">
        <v>0</v>
      </c>
      <c r="Q299" t="b">
        <v>1</v>
      </c>
      <c r="R299" t="b">
        <v>0</v>
      </c>
      <c r="S299" t="b">
        <v>1</v>
      </c>
      <c r="T299">
        <v>4</v>
      </c>
      <c r="U299" s="1">
        <v>0.52241323503764736</v>
      </c>
      <c r="V299" s="1">
        <v>0.98673623067821892</v>
      </c>
      <c r="W299" s="1">
        <v>9.0842423733686827E-4</v>
      </c>
      <c r="X299">
        <v>6</v>
      </c>
      <c r="Y299" s="1">
        <v>0.4885416666666666</v>
      </c>
    </row>
    <row r="300" spans="2:25">
      <c r="B300" t="str">
        <f t="shared" si="8"/>
        <v>V</v>
      </c>
      <c r="C300" t="s">
        <v>114</v>
      </c>
      <c r="D300" t="str">
        <f t="shared" si="9"/>
        <v>V-拥挤度</v>
      </c>
      <c r="E300" t="s">
        <v>969</v>
      </c>
      <c r="F300" t="s">
        <v>970</v>
      </c>
      <c r="G300" t="s">
        <v>971</v>
      </c>
      <c r="H300">
        <v>0</v>
      </c>
      <c r="I300">
        <v>1</v>
      </c>
      <c r="J300">
        <v>0.5</v>
      </c>
      <c r="K300">
        <v>0</v>
      </c>
      <c r="L300">
        <v>1.5</v>
      </c>
      <c r="M300" t="b">
        <v>1</v>
      </c>
      <c r="N300" t="b">
        <v>1</v>
      </c>
      <c r="O300" t="b">
        <v>0</v>
      </c>
      <c r="P300" t="b">
        <v>0</v>
      </c>
      <c r="Q300" t="b">
        <v>0</v>
      </c>
      <c r="R300" t="b">
        <v>0</v>
      </c>
      <c r="S300" t="b">
        <v>1</v>
      </c>
      <c r="T300">
        <v>3</v>
      </c>
      <c r="U300" s="1">
        <v>0.51577918904082465</v>
      </c>
      <c r="V300" s="1">
        <v>0.99064883604597254</v>
      </c>
      <c r="W300" s="1">
        <v>6.1746568666891518E-4</v>
      </c>
      <c r="X300">
        <v>4.5</v>
      </c>
      <c r="Y300" s="1">
        <v>0.47499999999999998</v>
      </c>
    </row>
    <row r="301" spans="2:25">
      <c r="B301" t="str">
        <f t="shared" si="8"/>
        <v>V</v>
      </c>
      <c r="C301" t="s">
        <v>114</v>
      </c>
      <c r="D301" t="str">
        <f t="shared" si="9"/>
        <v>V-拥挤度</v>
      </c>
      <c r="E301" t="s">
        <v>972</v>
      </c>
      <c r="F301" t="s">
        <v>973</v>
      </c>
      <c r="G301" t="s">
        <v>974</v>
      </c>
      <c r="H301">
        <v>0</v>
      </c>
      <c r="I301">
        <v>0</v>
      </c>
      <c r="J301">
        <v>0.5</v>
      </c>
      <c r="K301">
        <v>0.5</v>
      </c>
      <c r="L301">
        <v>1</v>
      </c>
      <c r="M301" t="b">
        <v>1</v>
      </c>
      <c r="N301" t="b">
        <v>1</v>
      </c>
      <c r="O301" t="b">
        <v>0</v>
      </c>
      <c r="P301" t="b">
        <v>0</v>
      </c>
      <c r="Q301" t="b">
        <v>1</v>
      </c>
      <c r="R301" t="b">
        <v>1</v>
      </c>
      <c r="S301" t="b">
        <v>1</v>
      </c>
      <c r="T301">
        <v>5</v>
      </c>
      <c r="U301" s="1">
        <v>0.52151806235767506</v>
      </c>
      <c r="V301" s="1">
        <v>1.016555566061901</v>
      </c>
      <c r="W301" s="1">
        <v>1.188192365847831E-3</v>
      </c>
      <c r="X301">
        <v>6</v>
      </c>
      <c r="Y301" s="1">
        <v>0.484375</v>
      </c>
    </row>
    <row r="302" spans="2:25">
      <c r="B302" t="str">
        <f t="shared" si="8"/>
        <v>V</v>
      </c>
      <c r="C302" t="s">
        <v>114</v>
      </c>
      <c r="D302" t="str">
        <f t="shared" si="9"/>
        <v>V-拥挤度</v>
      </c>
      <c r="E302" t="s">
        <v>975</v>
      </c>
      <c r="F302" t="s">
        <v>976</v>
      </c>
      <c r="G302" t="s">
        <v>977</v>
      </c>
      <c r="H302">
        <v>1</v>
      </c>
      <c r="I302">
        <v>1</v>
      </c>
      <c r="J302">
        <v>0.5</v>
      </c>
      <c r="K302">
        <v>0.5</v>
      </c>
      <c r="L302">
        <v>3</v>
      </c>
      <c r="M302" t="b">
        <v>1</v>
      </c>
      <c r="N302" t="b">
        <v>1</v>
      </c>
      <c r="O302" t="b">
        <v>0</v>
      </c>
      <c r="P302" t="b">
        <v>0</v>
      </c>
      <c r="Q302" t="b">
        <v>1</v>
      </c>
      <c r="R302" t="b">
        <v>1</v>
      </c>
      <c r="S302" t="b">
        <v>1</v>
      </c>
      <c r="T302">
        <v>5</v>
      </c>
      <c r="U302" s="1">
        <v>0.52357243745623394</v>
      </c>
      <c r="V302" s="1">
        <v>1.009727150185618</v>
      </c>
      <c r="W302" s="1">
        <v>1.192930881769308E-3</v>
      </c>
      <c r="X302">
        <v>8</v>
      </c>
      <c r="Y302" s="1">
        <v>0.47083333333333338</v>
      </c>
    </row>
    <row r="303" spans="2:25">
      <c r="B303" t="str">
        <f t="shared" si="8"/>
        <v>V</v>
      </c>
      <c r="C303" t="s">
        <v>114</v>
      </c>
      <c r="D303" t="str">
        <f t="shared" si="9"/>
        <v>V-拥挤度</v>
      </c>
      <c r="E303" t="s">
        <v>978</v>
      </c>
      <c r="F303" t="s">
        <v>979</v>
      </c>
      <c r="G303" t="s">
        <v>980</v>
      </c>
      <c r="H303">
        <v>0</v>
      </c>
      <c r="I303">
        <v>0</v>
      </c>
      <c r="J303">
        <v>0.5</v>
      </c>
      <c r="K303">
        <v>0.5</v>
      </c>
      <c r="L303">
        <v>1</v>
      </c>
      <c r="M303" t="b">
        <v>1</v>
      </c>
      <c r="N303" t="b">
        <v>1</v>
      </c>
      <c r="O303" t="b">
        <v>0</v>
      </c>
      <c r="P303" t="b">
        <v>0</v>
      </c>
      <c r="Q303" t="b">
        <v>1</v>
      </c>
      <c r="R303" t="b">
        <v>0</v>
      </c>
      <c r="S303" t="b">
        <v>1</v>
      </c>
      <c r="T303">
        <v>4</v>
      </c>
      <c r="U303" s="1">
        <v>0.52564551968095907</v>
      </c>
      <c r="V303" s="1">
        <v>0.99020895897421468</v>
      </c>
      <c r="W303" s="1">
        <v>9.9875550167981839E-4</v>
      </c>
      <c r="X303">
        <v>5</v>
      </c>
      <c r="Y303" s="1">
        <v>0.50208333333333344</v>
      </c>
    </row>
    <row r="304" spans="2:25">
      <c r="B304" t="str">
        <f t="shared" si="8"/>
        <v>V</v>
      </c>
      <c r="C304" t="s">
        <v>117</v>
      </c>
      <c r="D304" t="str">
        <f t="shared" si="9"/>
        <v>V-波动率</v>
      </c>
      <c r="E304" t="s">
        <v>981</v>
      </c>
      <c r="F304" t="s">
        <v>982</v>
      </c>
      <c r="G304" t="s">
        <v>983</v>
      </c>
      <c r="H304">
        <v>0</v>
      </c>
      <c r="I304">
        <v>0</v>
      </c>
      <c r="J304">
        <v>0.5</v>
      </c>
      <c r="K304">
        <v>0.5</v>
      </c>
      <c r="L304">
        <v>1</v>
      </c>
      <c r="M304" t="b">
        <v>1</v>
      </c>
      <c r="N304" t="b">
        <v>1</v>
      </c>
      <c r="O304" t="b">
        <v>0</v>
      </c>
      <c r="P304" t="b">
        <v>0</v>
      </c>
      <c r="Q304" t="b">
        <v>1</v>
      </c>
      <c r="R304" t="b">
        <v>1</v>
      </c>
      <c r="S304" t="b">
        <v>1</v>
      </c>
      <c r="T304">
        <v>5</v>
      </c>
      <c r="U304" s="1">
        <v>0.52388929456332656</v>
      </c>
      <c r="V304" s="1">
        <v>1.010582910282924</v>
      </c>
      <c r="W304" s="1">
        <v>1.1806570685814919E-3</v>
      </c>
      <c r="X304">
        <v>6</v>
      </c>
      <c r="Y304" s="1">
        <v>0.50833333333333341</v>
      </c>
    </row>
    <row r="305" spans="1:25">
      <c r="B305" t="str">
        <f t="shared" si="8"/>
        <v>V</v>
      </c>
      <c r="C305" t="s">
        <v>117</v>
      </c>
      <c r="D305" t="str">
        <f t="shared" si="9"/>
        <v>V-波动率</v>
      </c>
      <c r="E305" t="s">
        <v>984</v>
      </c>
      <c r="F305" t="s">
        <v>985</v>
      </c>
      <c r="G305" t="s">
        <v>986</v>
      </c>
      <c r="H305">
        <v>0</v>
      </c>
      <c r="I305">
        <v>0</v>
      </c>
      <c r="J305">
        <v>0</v>
      </c>
      <c r="K305">
        <v>0</v>
      </c>
      <c r="L305">
        <v>0</v>
      </c>
      <c r="M305" t="b">
        <v>1</v>
      </c>
      <c r="N305" t="b">
        <v>1</v>
      </c>
      <c r="O305" t="b">
        <v>0</v>
      </c>
      <c r="P305" t="b">
        <v>0</v>
      </c>
      <c r="Q305" t="b">
        <v>1</v>
      </c>
      <c r="R305" t="b">
        <v>1</v>
      </c>
      <c r="S305" t="b">
        <v>1</v>
      </c>
      <c r="T305">
        <v>5</v>
      </c>
      <c r="U305" s="1">
        <v>0.52029085764604821</v>
      </c>
      <c r="V305" s="1">
        <v>1.0003405343930589</v>
      </c>
      <c r="W305" s="1">
        <v>9.5728720763963262E-4</v>
      </c>
      <c r="X305">
        <v>5</v>
      </c>
      <c r="Y305" s="1">
        <v>0.50416666666666676</v>
      </c>
    </row>
    <row r="306" spans="1:25">
      <c r="B306" t="str">
        <f t="shared" si="8"/>
        <v>V</v>
      </c>
      <c r="C306" t="s">
        <v>117</v>
      </c>
      <c r="D306" t="str">
        <f t="shared" si="9"/>
        <v>V-波动率</v>
      </c>
      <c r="E306" t="s">
        <v>987</v>
      </c>
      <c r="F306" t="s">
        <v>988</v>
      </c>
      <c r="G306" t="s">
        <v>989</v>
      </c>
      <c r="H306">
        <v>0</v>
      </c>
      <c r="I306">
        <v>1</v>
      </c>
      <c r="J306">
        <v>0.5</v>
      </c>
      <c r="K306">
        <v>0.5</v>
      </c>
      <c r="L306">
        <v>2</v>
      </c>
      <c r="M306" t="b">
        <v>1</v>
      </c>
      <c r="N306" t="b">
        <v>1</v>
      </c>
      <c r="O306" t="b">
        <v>0</v>
      </c>
      <c r="P306" t="b">
        <v>0</v>
      </c>
      <c r="Q306" t="b">
        <v>1</v>
      </c>
      <c r="R306" t="b">
        <v>0</v>
      </c>
      <c r="S306" t="b">
        <v>1</v>
      </c>
      <c r="T306">
        <v>4</v>
      </c>
      <c r="U306" s="1">
        <v>0.52209271350071074</v>
      </c>
      <c r="V306" s="1">
        <v>0.99279203543470573</v>
      </c>
      <c r="W306" s="1">
        <v>9.5364881743203599E-4</v>
      </c>
      <c r="X306">
        <v>6</v>
      </c>
      <c r="Y306" s="1">
        <v>0.48749999999999999</v>
      </c>
    </row>
    <row r="307" spans="1:25">
      <c r="B307" t="str">
        <f t="shared" si="8"/>
        <v>V</v>
      </c>
      <c r="C307" t="s">
        <v>117</v>
      </c>
      <c r="D307" t="str">
        <f t="shared" si="9"/>
        <v>V-波动率</v>
      </c>
      <c r="E307" t="s">
        <v>990</v>
      </c>
      <c r="F307" t="s">
        <v>991</v>
      </c>
      <c r="G307" t="s">
        <v>992</v>
      </c>
      <c r="H307">
        <v>0</v>
      </c>
      <c r="I307">
        <v>0</v>
      </c>
      <c r="J307">
        <v>0</v>
      </c>
      <c r="K307">
        <v>0</v>
      </c>
      <c r="L307">
        <v>0</v>
      </c>
      <c r="M307" t="b">
        <v>1</v>
      </c>
      <c r="N307" t="b">
        <v>1</v>
      </c>
      <c r="O307" t="b">
        <v>0</v>
      </c>
      <c r="P307" t="b">
        <v>1</v>
      </c>
      <c r="Q307" t="b">
        <v>1</v>
      </c>
      <c r="R307" t="b">
        <v>1</v>
      </c>
      <c r="S307" t="b">
        <v>1</v>
      </c>
      <c r="T307">
        <v>6</v>
      </c>
      <c r="U307" s="1">
        <v>0.52060793135657912</v>
      </c>
      <c r="V307" s="1">
        <v>1.00228641908945</v>
      </c>
      <c r="W307" s="1">
        <v>8.7946323077318814E-4</v>
      </c>
      <c r="X307">
        <v>6</v>
      </c>
      <c r="Y307" s="1">
        <v>0.51666666666666672</v>
      </c>
    </row>
    <row r="308" spans="1:25">
      <c r="B308" t="str">
        <f t="shared" si="8"/>
        <v>V</v>
      </c>
      <c r="C308" t="s">
        <v>117</v>
      </c>
      <c r="D308" t="str">
        <f t="shared" si="9"/>
        <v>V-波动率</v>
      </c>
      <c r="E308" t="s">
        <v>993</v>
      </c>
      <c r="F308" t="s">
        <v>994</v>
      </c>
      <c r="G308" t="s">
        <v>995</v>
      </c>
      <c r="H308">
        <v>0</v>
      </c>
      <c r="I308">
        <v>1</v>
      </c>
      <c r="J308">
        <v>0.5</v>
      </c>
      <c r="K308">
        <v>0.5</v>
      </c>
      <c r="L308">
        <v>2</v>
      </c>
      <c r="M308" t="b">
        <v>0</v>
      </c>
      <c r="N308" t="b">
        <v>1</v>
      </c>
      <c r="O308" t="b">
        <v>0</v>
      </c>
      <c r="P308" t="b">
        <v>0</v>
      </c>
      <c r="Q308" t="b">
        <v>1</v>
      </c>
      <c r="R308" t="b">
        <v>0</v>
      </c>
      <c r="S308" t="b">
        <v>1</v>
      </c>
      <c r="T308">
        <v>3</v>
      </c>
      <c r="U308" s="1">
        <v>0.52388141858704396</v>
      </c>
      <c r="V308" s="1">
        <v>0.99750605095828493</v>
      </c>
      <c r="W308" s="1">
        <v>1.162021883773881E-3</v>
      </c>
      <c r="X308">
        <v>5</v>
      </c>
      <c r="Y308" s="1">
        <v>0.52083333333333337</v>
      </c>
    </row>
    <row r="309" spans="1:25">
      <c r="B309" t="str">
        <f t="shared" si="8"/>
        <v>V</v>
      </c>
      <c r="C309" t="s">
        <v>117</v>
      </c>
      <c r="D309" t="str">
        <f t="shared" si="9"/>
        <v>V-波动率</v>
      </c>
      <c r="E309" t="s">
        <v>996</v>
      </c>
      <c r="F309" t="s">
        <v>997</v>
      </c>
      <c r="G309" t="s">
        <v>998</v>
      </c>
      <c r="H309">
        <v>0</v>
      </c>
      <c r="I309">
        <v>0</v>
      </c>
      <c r="J309">
        <v>0</v>
      </c>
      <c r="K309">
        <v>0</v>
      </c>
      <c r="L309">
        <v>0</v>
      </c>
      <c r="M309" t="b">
        <v>1</v>
      </c>
      <c r="N309" t="b">
        <v>1</v>
      </c>
      <c r="O309" t="b">
        <v>0</v>
      </c>
      <c r="P309" t="b">
        <v>1</v>
      </c>
      <c r="Q309" t="b">
        <v>1</v>
      </c>
      <c r="R309" t="b">
        <v>1</v>
      </c>
      <c r="S309" t="b">
        <v>1</v>
      </c>
      <c r="T309">
        <v>6</v>
      </c>
      <c r="U309" s="1">
        <v>0.5211464396176051</v>
      </c>
      <c r="V309" s="1">
        <v>1.005365478566453</v>
      </c>
      <c r="W309" s="1">
        <v>9.330538029038597E-4</v>
      </c>
      <c r="X309">
        <v>6</v>
      </c>
      <c r="Y309" s="1">
        <v>0.50937499999999991</v>
      </c>
    </row>
    <row r="310" spans="1:25">
      <c r="B310" t="str">
        <f t="shared" si="8"/>
        <v>V</v>
      </c>
      <c r="C310" t="s">
        <v>119</v>
      </c>
      <c r="D310" t="str">
        <f t="shared" si="9"/>
        <v>V-重仓度</v>
      </c>
      <c r="E310" t="s">
        <v>999</v>
      </c>
      <c r="F310" t="s">
        <v>1000</v>
      </c>
      <c r="G310" t="s">
        <v>1001</v>
      </c>
      <c r="H310">
        <v>0</v>
      </c>
      <c r="I310">
        <v>1</v>
      </c>
      <c r="J310">
        <v>0</v>
      </c>
      <c r="K310">
        <v>0</v>
      </c>
      <c r="L310">
        <v>1</v>
      </c>
      <c r="M310" t="b">
        <v>1</v>
      </c>
      <c r="N310" t="b">
        <v>1</v>
      </c>
      <c r="O310" t="b">
        <v>0</v>
      </c>
      <c r="P310" t="b">
        <v>0</v>
      </c>
      <c r="Q310" t="b">
        <v>0</v>
      </c>
      <c r="R310" t="b">
        <v>0</v>
      </c>
      <c r="S310" t="b">
        <v>1</v>
      </c>
      <c r="T310">
        <v>3</v>
      </c>
      <c r="U310" s="1">
        <v>0.51826789533692685</v>
      </c>
      <c r="V310" s="1">
        <v>0.99071247697906006</v>
      </c>
      <c r="W310" s="1">
        <v>7.1402354058904102E-4</v>
      </c>
      <c r="X310">
        <v>4</v>
      </c>
      <c r="Y310" s="1">
        <v>0.50624999999999998</v>
      </c>
    </row>
    <row r="311" spans="1:25">
      <c r="B311" t="str">
        <f t="shared" si="8"/>
        <v>V</v>
      </c>
      <c r="C311" t="s">
        <v>119</v>
      </c>
      <c r="D311" t="str">
        <f t="shared" si="9"/>
        <v>V-重仓度</v>
      </c>
      <c r="E311" t="s">
        <v>1002</v>
      </c>
      <c r="F311" t="s">
        <v>1003</v>
      </c>
      <c r="G311" t="s">
        <v>1004</v>
      </c>
      <c r="H311">
        <v>0</v>
      </c>
      <c r="I311">
        <v>0</v>
      </c>
      <c r="J311">
        <v>0</v>
      </c>
      <c r="K311">
        <v>0</v>
      </c>
      <c r="L311">
        <v>0</v>
      </c>
      <c r="M311" t="b">
        <v>1</v>
      </c>
      <c r="N311" t="b">
        <v>1</v>
      </c>
      <c r="O311" t="b">
        <v>0</v>
      </c>
      <c r="P311" t="b">
        <v>0</v>
      </c>
      <c r="Q311" t="b">
        <v>0</v>
      </c>
      <c r="R311" t="b">
        <v>0</v>
      </c>
      <c r="S311" t="b">
        <v>1</v>
      </c>
      <c r="T311">
        <v>3</v>
      </c>
      <c r="U311" s="1">
        <v>0.51212417527843146</v>
      </c>
      <c r="V311" s="1">
        <v>0.99611741756780869</v>
      </c>
      <c r="W311" s="1">
        <v>5.0177185857033476E-4</v>
      </c>
      <c r="X311">
        <v>3</v>
      </c>
      <c r="Y311" s="1">
        <v>0.4958333333333334</v>
      </c>
    </row>
    <row r="312" spans="1:25">
      <c r="B312" t="str">
        <f t="shared" si="8"/>
        <v>V</v>
      </c>
      <c r="C312" t="s">
        <v>119</v>
      </c>
      <c r="D312" t="str">
        <f t="shared" si="9"/>
        <v>V-重仓度</v>
      </c>
      <c r="E312" t="s">
        <v>1005</v>
      </c>
      <c r="F312" t="s">
        <v>1006</v>
      </c>
      <c r="G312" t="s">
        <v>1007</v>
      </c>
      <c r="H312">
        <v>0</v>
      </c>
      <c r="I312">
        <v>1</v>
      </c>
      <c r="J312">
        <v>0.5</v>
      </c>
      <c r="K312">
        <v>0.5</v>
      </c>
      <c r="L312">
        <v>2</v>
      </c>
      <c r="M312" t="b">
        <v>1</v>
      </c>
      <c r="N312" t="b">
        <v>1</v>
      </c>
      <c r="O312" t="b">
        <v>0</v>
      </c>
      <c r="P312" t="b">
        <v>0</v>
      </c>
      <c r="Q312" t="b">
        <v>1</v>
      </c>
      <c r="R312" t="b">
        <v>0</v>
      </c>
      <c r="S312" t="b">
        <v>1</v>
      </c>
      <c r="T312">
        <v>4</v>
      </c>
      <c r="U312" s="1">
        <v>0.52853488696384476</v>
      </c>
      <c r="V312" s="1">
        <v>0.99356649439753042</v>
      </c>
      <c r="W312" s="1">
        <v>1.215420636370712E-3</v>
      </c>
      <c r="X312">
        <v>6</v>
      </c>
      <c r="Y312" s="1">
        <v>0.51666666666666672</v>
      </c>
    </row>
    <row r="313" spans="1:25">
      <c r="B313" t="str">
        <f t="shared" si="8"/>
        <v>V</v>
      </c>
      <c r="C313" t="s">
        <v>119</v>
      </c>
      <c r="D313" t="str">
        <f t="shared" si="9"/>
        <v>V-重仓度</v>
      </c>
      <c r="E313" t="s">
        <v>1008</v>
      </c>
      <c r="F313" t="s">
        <v>1009</v>
      </c>
      <c r="G313" t="s">
        <v>1010</v>
      </c>
      <c r="H313">
        <v>0</v>
      </c>
      <c r="I313">
        <v>0</v>
      </c>
      <c r="J313">
        <v>0</v>
      </c>
      <c r="K313">
        <v>0</v>
      </c>
      <c r="L313">
        <v>0</v>
      </c>
      <c r="M313" t="b">
        <v>1</v>
      </c>
      <c r="N313" t="b">
        <v>1</v>
      </c>
      <c r="O313" t="b">
        <v>0</v>
      </c>
      <c r="P313" t="b">
        <v>0</v>
      </c>
      <c r="Q313" t="b">
        <v>0</v>
      </c>
      <c r="R313" t="b">
        <v>1</v>
      </c>
      <c r="S313" t="b">
        <v>1</v>
      </c>
      <c r="T313">
        <v>4</v>
      </c>
      <c r="U313" s="1">
        <v>0.51030595319353877</v>
      </c>
      <c r="V313" s="1">
        <v>1.037192869072556</v>
      </c>
      <c r="W313" s="1">
        <v>8.7584567246657666E-4</v>
      </c>
      <c r="X313">
        <v>4</v>
      </c>
      <c r="Y313" s="1">
        <v>0.48541666666666661</v>
      </c>
    </row>
    <row r="314" spans="1:25">
      <c r="B314" t="str">
        <f t="shared" si="8"/>
        <v>V</v>
      </c>
      <c r="C314" t="s">
        <v>119</v>
      </c>
      <c r="D314" t="str">
        <f t="shared" si="9"/>
        <v>V-重仓度</v>
      </c>
      <c r="E314" t="s">
        <v>1011</v>
      </c>
      <c r="F314" t="s">
        <v>1012</v>
      </c>
      <c r="G314" t="s">
        <v>1013</v>
      </c>
      <c r="H314">
        <v>0</v>
      </c>
      <c r="I314">
        <v>0</v>
      </c>
      <c r="J314">
        <v>0</v>
      </c>
      <c r="K314">
        <v>0</v>
      </c>
      <c r="L314">
        <v>0</v>
      </c>
      <c r="M314" t="b">
        <v>1</v>
      </c>
      <c r="N314" t="b">
        <v>1</v>
      </c>
      <c r="O314" t="b">
        <v>0</v>
      </c>
      <c r="P314" t="b">
        <v>0</v>
      </c>
      <c r="Q314" t="b">
        <v>1</v>
      </c>
      <c r="R314" t="b">
        <v>0</v>
      </c>
      <c r="S314" t="b">
        <v>1</v>
      </c>
      <c r="T314">
        <v>4</v>
      </c>
      <c r="U314" s="1">
        <v>0.52036093124881311</v>
      </c>
      <c r="V314" s="1">
        <v>0.96520582923859877</v>
      </c>
      <c r="W314" s="1">
        <v>5.0422318752639322E-4</v>
      </c>
      <c r="X314">
        <v>4</v>
      </c>
      <c r="Y314" s="1">
        <v>0.50104166666666672</v>
      </c>
    </row>
    <row r="315" spans="1:25">
      <c r="B315" t="str">
        <f t="shared" si="8"/>
        <v>V</v>
      </c>
      <c r="C315" t="s">
        <v>123</v>
      </c>
      <c r="D315" t="str">
        <f t="shared" si="9"/>
        <v>V-商品通胀周期</v>
      </c>
      <c r="E315" t="s">
        <v>1014</v>
      </c>
      <c r="F315" t="s">
        <v>1015</v>
      </c>
      <c r="G315" t="s">
        <v>1016</v>
      </c>
      <c r="H315">
        <v>0</v>
      </c>
      <c r="I315">
        <v>1</v>
      </c>
      <c r="J315">
        <v>0</v>
      </c>
      <c r="K315">
        <v>0.5</v>
      </c>
      <c r="L315">
        <v>1.5</v>
      </c>
      <c r="M315" t="b">
        <v>1</v>
      </c>
      <c r="N315" t="b">
        <v>1</v>
      </c>
      <c r="O315" t="b">
        <v>0</v>
      </c>
      <c r="P315" t="b">
        <v>0</v>
      </c>
      <c r="Q315" t="b">
        <v>0</v>
      </c>
      <c r="R315" t="b">
        <v>1</v>
      </c>
      <c r="S315" t="b">
        <v>1</v>
      </c>
      <c r="T315">
        <v>4</v>
      </c>
      <c r="U315" s="1">
        <v>0.51619274310034424</v>
      </c>
      <c r="V315" s="1">
        <v>1.006040011383093</v>
      </c>
      <c r="W315" s="1">
        <v>8.2593685186962214E-4</v>
      </c>
      <c r="X315">
        <v>5.5</v>
      </c>
      <c r="Y315" s="1">
        <v>0.5239583333333333</v>
      </c>
    </row>
    <row r="316" spans="1:25">
      <c r="B316" t="str">
        <f t="shared" si="8"/>
        <v>V</v>
      </c>
      <c r="C316" t="s">
        <v>126</v>
      </c>
      <c r="D316" t="str">
        <f t="shared" si="9"/>
        <v>V-强势股占比</v>
      </c>
      <c r="E316" t="s">
        <v>1017</v>
      </c>
      <c r="F316" t="s">
        <v>1018</v>
      </c>
      <c r="G316" t="s">
        <v>1019</v>
      </c>
      <c r="H316">
        <v>0</v>
      </c>
      <c r="I316">
        <v>1</v>
      </c>
      <c r="J316">
        <v>0.5</v>
      </c>
      <c r="K316">
        <v>0</v>
      </c>
      <c r="L316">
        <v>1.5</v>
      </c>
      <c r="M316" t="b">
        <v>1</v>
      </c>
      <c r="N316" t="b">
        <v>1</v>
      </c>
      <c r="O316" t="b">
        <v>0</v>
      </c>
      <c r="P316" t="b">
        <v>0</v>
      </c>
      <c r="Q316" t="b">
        <v>0</v>
      </c>
      <c r="R316" t="b">
        <v>1</v>
      </c>
      <c r="S316" t="b">
        <v>1</v>
      </c>
      <c r="T316">
        <v>4</v>
      </c>
      <c r="U316" s="1">
        <v>0.51623085546369185</v>
      </c>
      <c r="V316" s="1">
        <v>1.013482895654108</v>
      </c>
      <c r="W316" s="1">
        <v>9.0755484396625309E-4</v>
      </c>
      <c r="X316">
        <v>5.5</v>
      </c>
      <c r="Y316" s="1">
        <v>0.50104166666666672</v>
      </c>
    </row>
    <row r="317" spans="1:25">
      <c r="B317" t="str">
        <f t="shared" si="8"/>
        <v>V</v>
      </c>
      <c r="C317" t="s">
        <v>126</v>
      </c>
      <c r="D317" t="str">
        <f t="shared" si="9"/>
        <v>V-强势股占比</v>
      </c>
      <c r="E317" t="s">
        <v>1020</v>
      </c>
      <c r="F317" t="s">
        <v>1021</v>
      </c>
      <c r="G317" t="s">
        <v>1022</v>
      </c>
      <c r="H317">
        <v>1</v>
      </c>
      <c r="I317">
        <v>1</v>
      </c>
      <c r="J317">
        <v>0.5</v>
      </c>
      <c r="K317">
        <v>0.5</v>
      </c>
      <c r="L317">
        <v>3</v>
      </c>
      <c r="M317" t="b">
        <v>1</v>
      </c>
      <c r="N317" t="b">
        <v>1</v>
      </c>
      <c r="O317" t="b">
        <v>0</v>
      </c>
      <c r="P317" t="b">
        <v>0</v>
      </c>
      <c r="Q317" t="b">
        <v>0</v>
      </c>
      <c r="R317" t="b">
        <v>1</v>
      </c>
      <c r="S317" t="b">
        <v>1</v>
      </c>
      <c r="T317">
        <v>4</v>
      </c>
      <c r="U317" s="1">
        <v>0.51830336038307467</v>
      </c>
      <c r="V317" s="1">
        <v>1.0269017440399271</v>
      </c>
      <c r="W317" s="1">
        <v>1.1579713294888061E-3</v>
      </c>
      <c r="X317">
        <v>7</v>
      </c>
      <c r="Y317" s="1">
        <v>0.50833333333333341</v>
      </c>
    </row>
    <row r="318" spans="1:25">
      <c r="A318" s="6">
        <v>1</v>
      </c>
      <c r="B318" t="str">
        <f t="shared" si="8"/>
        <v>V</v>
      </c>
      <c r="C318" t="s">
        <v>126</v>
      </c>
      <c r="D318" t="str">
        <f t="shared" si="9"/>
        <v>V-强势股占比</v>
      </c>
      <c r="E318" t="s">
        <v>1023</v>
      </c>
      <c r="F318" t="s">
        <v>1024</v>
      </c>
      <c r="G318" t="s">
        <v>1025</v>
      </c>
      <c r="H318">
        <v>1</v>
      </c>
      <c r="I318">
        <v>1</v>
      </c>
      <c r="J318">
        <v>0.5</v>
      </c>
      <c r="K318">
        <v>0.5</v>
      </c>
      <c r="L318">
        <v>3</v>
      </c>
      <c r="M318" t="b">
        <v>1</v>
      </c>
      <c r="N318" t="b">
        <v>1</v>
      </c>
      <c r="O318" t="b">
        <v>0</v>
      </c>
      <c r="P318" t="b">
        <v>0</v>
      </c>
      <c r="Q318" t="b">
        <v>0</v>
      </c>
      <c r="R318" t="b">
        <v>1</v>
      </c>
      <c r="S318" t="b">
        <v>1</v>
      </c>
      <c r="T318">
        <v>4</v>
      </c>
      <c r="U318" s="1">
        <v>0.51591319636637656</v>
      </c>
      <c r="V318" s="1">
        <v>1.027777338427553</v>
      </c>
      <c r="W318" s="1">
        <v>1.0552753442019649E-3</v>
      </c>
      <c r="X318">
        <v>7</v>
      </c>
      <c r="Y318" s="1">
        <v>0.5</v>
      </c>
    </row>
    <row r="319" spans="1:25">
      <c r="B319" t="str">
        <f t="shared" si="8"/>
        <v>V</v>
      </c>
      <c r="C319" t="s">
        <v>126</v>
      </c>
      <c r="D319" t="str">
        <f t="shared" si="9"/>
        <v>V-强势股占比</v>
      </c>
      <c r="E319" t="s">
        <v>1023</v>
      </c>
      <c r="F319" t="s">
        <v>1026</v>
      </c>
      <c r="G319" t="s">
        <v>1027</v>
      </c>
      <c r="H319">
        <v>1</v>
      </c>
      <c r="I319">
        <v>0</v>
      </c>
      <c r="J319">
        <v>0.5</v>
      </c>
      <c r="K319">
        <v>0.5</v>
      </c>
      <c r="L319">
        <v>2</v>
      </c>
      <c r="M319" t="b">
        <v>1</v>
      </c>
      <c r="N319" t="b">
        <v>1</v>
      </c>
      <c r="O319" t="b">
        <v>0</v>
      </c>
      <c r="P319" t="b">
        <v>0</v>
      </c>
      <c r="Q319" t="b">
        <v>0</v>
      </c>
      <c r="R319" t="b">
        <v>1</v>
      </c>
      <c r="S319" t="b">
        <v>1</v>
      </c>
      <c r="T319">
        <v>4</v>
      </c>
      <c r="U319" s="1">
        <v>0.51591319636637656</v>
      </c>
      <c r="V319" s="1">
        <v>1.027777338427553</v>
      </c>
      <c r="W319" s="1">
        <v>1.0552753442019649E-3</v>
      </c>
      <c r="X319">
        <v>6</v>
      </c>
      <c r="Y319" s="1">
        <v>0.5</v>
      </c>
    </row>
    <row r="320" spans="1:25">
      <c r="B320" t="str">
        <f t="shared" si="8"/>
        <v>V</v>
      </c>
      <c r="C320" t="s">
        <v>126</v>
      </c>
      <c r="D320" t="str">
        <f t="shared" si="9"/>
        <v>V-强势股占比</v>
      </c>
      <c r="E320" t="s">
        <v>1028</v>
      </c>
      <c r="F320" t="s">
        <v>1029</v>
      </c>
      <c r="G320" t="s">
        <v>1030</v>
      </c>
      <c r="H320">
        <v>0</v>
      </c>
      <c r="I320">
        <v>0</v>
      </c>
      <c r="J320">
        <v>0.5</v>
      </c>
      <c r="K320">
        <v>0.5</v>
      </c>
      <c r="L320">
        <v>1</v>
      </c>
      <c r="M320" t="b">
        <v>1</v>
      </c>
      <c r="N320" t="b">
        <v>1</v>
      </c>
      <c r="O320" t="b">
        <v>0</v>
      </c>
      <c r="P320" t="b">
        <v>0</v>
      </c>
      <c r="Q320" t="b">
        <v>0</v>
      </c>
      <c r="R320" t="b">
        <v>0</v>
      </c>
      <c r="S320" t="b">
        <v>1</v>
      </c>
      <c r="T320">
        <v>3</v>
      </c>
      <c r="U320" s="1">
        <v>0.51773151944984064</v>
      </c>
      <c r="V320" s="1">
        <v>0.99137483001325888</v>
      </c>
      <c r="W320" s="1">
        <v>6.9421790363219729E-4</v>
      </c>
      <c r="X320">
        <v>4</v>
      </c>
      <c r="Y320" s="1">
        <v>0.47916666666666669</v>
      </c>
    </row>
    <row r="321" spans="1:25">
      <c r="B321" t="str">
        <f t="shared" si="8"/>
        <v>V</v>
      </c>
      <c r="C321" t="s">
        <v>126</v>
      </c>
      <c r="D321" t="str">
        <f t="shared" si="9"/>
        <v>V-强势股占比</v>
      </c>
      <c r="E321" t="s">
        <v>1031</v>
      </c>
      <c r="F321" t="s">
        <v>1032</v>
      </c>
      <c r="G321" t="s">
        <v>1033</v>
      </c>
      <c r="H321">
        <v>0</v>
      </c>
      <c r="I321">
        <v>0</v>
      </c>
      <c r="J321">
        <v>0.5</v>
      </c>
      <c r="K321">
        <v>0.5</v>
      </c>
      <c r="L321">
        <v>1</v>
      </c>
      <c r="M321" t="b">
        <v>1</v>
      </c>
      <c r="N321" t="b">
        <v>1</v>
      </c>
      <c r="O321" t="b">
        <v>0</v>
      </c>
      <c r="P321" t="b">
        <v>0</v>
      </c>
      <c r="Q321" t="b">
        <v>1</v>
      </c>
      <c r="R321" t="b">
        <v>0</v>
      </c>
      <c r="S321" t="b">
        <v>1</v>
      </c>
      <c r="T321">
        <v>4</v>
      </c>
      <c r="U321" s="1">
        <v>0.52801083096398449</v>
      </c>
      <c r="V321" s="1">
        <v>0.97735631107785592</v>
      </c>
      <c r="W321" s="1">
        <v>9.7346277756179861E-4</v>
      </c>
      <c r="X321">
        <v>5</v>
      </c>
      <c r="Y321" s="1">
        <v>0.4916666666666667</v>
      </c>
    </row>
    <row r="322" spans="1:25">
      <c r="B322" t="str">
        <f t="shared" ref="B322:B333" si="10">LEFT(G322)</f>
        <v>V</v>
      </c>
      <c r="C322" t="s">
        <v>126</v>
      </c>
      <c r="D322" t="str">
        <f t="shared" ref="D322:D333" si="11">B322&amp;"-"&amp;C322</f>
        <v>V-强势股占比</v>
      </c>
      <c r="E322" t="s">
        <v>1034</v>
      </c>
      <c r="F322" t="s">
        <v>1035</v>
      </c>
      <c r="G322" t="s">
        <v>1036</v>
      </c>
      <c r="H322">
        <v>0</v>
      </c>
      <c r="I322">
        <v>1</v>
      </c>
      <c r="J322">
        <v>0.5</v>
      </c>
      <c r="K322">
        <v>0.5</v>
      </c>
      <c r="L322">
        <v>2</v>
      </c>
      <c r="M322" t="b">
        <v>1</v>
      </c>
      <c r="N322" t="b">
        <v>1</v>
      </c>
      <c r="O322" t="b">
        <v>0</v>
      </c>
      <c r="P322" t="b">
        <v>0</v>
      </c>
      <c r="Q322" t="b">
        <v>0</v>
      </c>
      <c r="R322" t="b">
        <v>0</v>
      </c>
      <c r="S322" t="b">
        <v>1</v>
      </c>
      <c r="T322">
        <v>3</v>
      </c>
      <c r="U322" s="1">
        <v>0.51489858733072413</v>
      </c>
      <c r="V322" s="1">
        <v>0.94971715056707073</v>
      </c>
      <c r="W322" s="1">
        <v>8.0741844356667028E-5</v>
      </c>
      <c r="X322">
        <v>5</v>
      </c>
      <c r="Y322" s="1">
        <v>0.484375</v>
      </c>
    </row>
    <row r="323" spans="1:25">
      <c r="B323" t="str">
        <f t="shared" si="10"/>
        <v>V</v>
      </c>
      <c r="C323" t="s">
        <v>126</v>
      </c>
      <c r="D323" t="str">
        <f t="shared" si="11"/>
        <v>V-强势股占比</v>
      </c>
      <c r="E323" t="s">
        <v>1037</v>
      </c>
      <c r="F323" t="s">
        <v>1038</v>
      </c>
      <c r="G323" t="s">
        <v>1039</v>
      </c>
      <c r="H323">
        <v>0</v>
      </c>
      <c r="I323">
        <v>0</v>
      </c>
      <c r="J323">
        <v>0</v>
      </c>
      <c r="K323">
        <v>0</v>
      </c>
      <c r="L323">
        <v>0</v>
      </c>
      <c r="M323" t="b">
        <v>1</v>
      </c>
      <c r="N323" t="b">
        <v>1</v>
      </c>
      <c r="O323" t="b">
        <v>0</v>
      </c>
      <c r="P323" t="b">
        <v>0</v>
      </c>
      <c r="Q323" t="b">
        <v>0</v>
      </c>
      <c r="R323" t="b">
        <v>1</v>
      </c>
      <c r="S323" t="b">
        <v>1</v>
      </c>
      <c r="T323">
        <v>4</v>
      </c>
      <c r="U323" s="1">
        <v>0.51771453940999701</v>
      </c>
      <c r="V323" s="1">
        <v>1.006434173002533</v>
      </c>
      <c r="W323" s="1">
        <v>8.8012229833064654E-4</v>
      </c>
      <c r="X323">
        <v>4</v>
      </c>
      <c r="Y323" s="1">
        <v>0.48333333333333339</v>
      </c>
    </row>
    <row r="324" spans="1:25">
      <c r="B324" t="str">
        <f t="shared" si="10"/>
        <v>V</v>
      </c>
      <c r="C324" t="s">
        <v>128</v>
      </c>
      <c r="D324" t="str">
        <f t="shared" si="11"/>
        <v>V-换手率</v>
      </c>
      <c r="E324" t="s">
        <v>1040</v>
      </c>
      <c r="F324" t="s">
        <v>1041</v>
      </c>
      <c r="G324" t="s">
        <v>1042</v>
      </c>
      <c r="H324">
        <v>0</v>
      </c>
      <c r="I324">
        <v>0</v>
      </c>
      <c r="J324">
        <v>0</v>
      </c>
      <c r="K324">
        <v>0</v>
      </c>
      <c r="L324">
        <v>0</v>
      </c>
      <c r="M324" t="b">
        <v>1</v>
      </c>
      <c r="N324" t="b">
        <v>1</v>
      </c>
      <c r="O324" t="b">
        <v>0</v>
      </c>
      <c r="P324" t="b">
        <v>0</v>
      </c>
      <c r="Q324" t="b">
        <v>0</v>
      </c>
      <c r="R324" t="b">
        <v>1</v>
      </c>
      <c r="S324" t="b">
        <v>1</v>
      </c>
      <c r="T324">
        <v>4</v>
      </c>
      <c r="U324" s="1">
        <v>0.51799896549575497</v>
      </c>
      <c r="V324" s="1">
        <v>1.0307813002743851</v>
      </c>
      <c r="W324" s="1">
        <v>1.200917929272976E-3</v>
      </c>
      <c r="X324">
        <v>4</v>
      </c>
      <c r="Y324" s="1">
        <v>0.49791666666666667</v>
      </c>
    </row>
    <row r="325" spans="1:25">
      <c r="B325" t="str">
        <f t="shared" si="10"/>
        <v>V</v>
      </c>
      <c r="C325" t="s">
        <v>128</v>
      </c>
      <c r="D325" t="str">
        <f t="shared" si="11"/>
        <v>V-换手率</v>
      </c>
      <c r="E325" t="s">
        <v>1043</v>
      </c>
      <c r="F325" t="s">
        <v>1044</v>
      </c>
      <c r="G325" t="s">
        <v>1045</v>
      </c>
      <c r="H325">
        <v>1</v>
      </c>
      <c r="I325">
        <v>0</v>
      </c>
      <c r="J325">
        <v>0.5</v>
      </c>
      <c r="K325">
        <v>0.5</v>
      </c>
      <c r="L325">
        <v>2</v>
      </c>
      <c r="M325" t="b">
        <v>1</v>
      </c>
      <c r="N325" t="b">
        <v>1</v>
      </c>
      <c r="O325" t="b">
        <v>0</v>
      </c>
      <c r="P325" t="b">
        <v>0</v>
      </c>
      <c r="Q325" t="b">
        <v>0</v>
      </c>
      <c r="R325" t="b">
        <v>1</v>
      </c>
      <c r="S325" t="b">
        <v>1</v>
      </c>
      <c r="T325">
        <v>4</v>
      </c>
      <c r="U325" s="1">
        <v>0.51997757100318709</v>
      </c>
      <c r="V325" s="1">
        <v>1.0209824179684941</v>
      </c>
      <c r="W325" s="1">
        <v>1.167484880216677E-3</v>
      </c>
      <c r="X325">
        <v>6</v>
      </c>
      <c r="Y325" s="1">
        <v>0.51041666666666663</v>
      </c>
    </row>
    <row r="326" spans="1:25">
      <c r="B326" t="str">
        <f t="shared" si="10"/>
        <v>V</v>
      </c>
      <c r="C326" t="s">
        <v>128</v>
      </c>
      <c r="D326" t="str">
        <f t="shared" si="11"/>
        <v>V-换手率</v>
      </c>
      <c r="E326" t="s">
        <v>1046</v>
      </c>
      <c r="F326" t="s">
        <v>1047</v>
      </c>
      <c r="G326" t="s">
        <v>1048</v>
      </c>
      <c r="H326">
        <v>0</v>
      </c>
      <c r="I326">
        <v>0</v>
      </c>
      <c r="J326">
        <v>0</v>
      </c>
      <c r="K326">
        <v>0.5</v>
      </c>
      <c r="L326">
        <v>0.5</v>
      </c>
      <c r="M326" t="b">
        <v>1</v>
      </c>
      <c r="N326" t="b">
        <v>1</v>
      </c>
      <c r="O326" t="b">
        <v>0</v>
      </c>
      <c r="P326" t="b">
        <v>0</v>
      </c>
      <c r="Q326" t="b">
        <v>1</v>
      </c>
      <c r="R326" t="b">
        <v>0</v>
      </c>
      <c r="S326" t="b">
        <v>1</v>
      </c>
      <c r="T326">
        <v>4</v>
      </c>
      <c r="U326" s="1">
        <v>0.52718750052574292</v>
      </c>
      <c r="V326" s="1">
        <v>0.9878926134945869</v>
      </c>
      <c r="W326" s="1">
        <v>1.052839367170355E-3</v>
      </c>
      <c r="X326">
        <v>4.5</v>
      </c>
      <c r="Y326" s="1">
        <v>0.48541666666666661</v>
      </c>
    </row>
    <row r="327" spans="1:25">
      <c r="B327" t="str">
        <f t="shared" si="10"/>
        <v>V</v>
      </c>
      <c r="C327" t="s">
        <v>128</v>
      </c>
      <c r="D327" t="str">
        <f t="shared" si="11"/>
        <v>V-换手率</v>
      </c>
      <c r="E327" t="s">
        <v>1049</v>
      </c>
      <c r="F327" t="s">
        <v>1050</v>
      </c>
      <c r="G327" t="s">
        <v>1051</v>
      </c>
      <c r="H327">
        <v>0</v>
      </c>
      <c r="I327">
        <v>1</v>
      </c>
      <c r="J327">
        <v>0.5</v>
      </c>
      <c r="K327">
        <v>0.5</v>
      </c>
      <c r="L327">
        <v>2</v>
      </c>
      <c r="M327" t="b">
        <v>1</v>
      </c>
      <c r="N327" t="b">
        <v>0</v>
      </c>
      <c r="O327" t="b">
        <v>0</v>
      </c>
      <c r="P327" t="b">
        <v>0</v>
      </c>
      <c r="Q327" t="b">
        <v>0</v>
      </c>
      <c r="R327" t="b">
        <v>0</v>
      </c>
      <c r="S327" t="b">
        <v>0</v>
      </c>
      <c r="T327">
        <v>1</v>
      </c>
      <c r="U327" s="1">
        <v>0.49905054567433299</v>
      </c>
      <c r="V327" s="1">
        <v>0.98780218379038343</v>
      </c>
      <c r="W327" s="1">
        <v>-1.8766923068052401E-4</v>
      </c>
      <c r="X327">
        <v>3</v>
      </c>
      <c r="Y327" s="1">
        <v>0.46666666666666667</v>
      </c>
    </row>
    <row r="328" spans="1:25">
      <c r="B328" t="str">
        <f t="shared" si="10"/>
        <v>V</v>
      </c>
      <c r="C328" t="s">
        <v>128</v>
      </c>
      <c r="D328" t="str">
        <f t="shared" si="11"/>
        <v>V-换手率</v>
      </c>
      <c r="E328" t="s">
        <v>1052</v>
      </c>
      <c r="F328" t="s">
        <v>1053</v>
      </c>
      <c r="G328" t="s">
        <v>1054</v>
      </c>
      <c r="H328">
        <v>0</v>
      </c>
      <c r="I328">
        <v>1</v>
      </c>
      <c r="J328">
        <v>0.5</v>
      </c>
      <c r="K328">
        <v>0.5</v>
      </c>
      <c r="L328">
        <v>2</v>
      </c>
      <c r="M328" t="b">
        <v>1</v>
      </c>
      <c r="N328" t="b">
        <v>1</v>
      </c>
      <c r="O328" t="b">
        <v>0</v>
      </c>
      <c r="P328" t="b">
        <v>0</v>
      </c>
      <c r="Q328" t="b">
        <v>1</v>
      </c>
      <c r="R328" t="b">
        <v>0</v>
      </c>
      <c r="S328" t="b">
        <v>1</v>
      </c>
      <c r="T328">
        <v>4</v>
      </c>
      <c r="U328" s="1">
        <v>0.53106535544230771</v>
      </c>
      <c r="V328" s="1">
        <v>0.99561172387222885</v>
      </c>
      <c r="W328" s="1">
        <v>1.3533162072515181E-3</v>
      </c>
      <c r="X328">
        <v>6</v>
      </c>
      <c r="Y328" s="1">
        <v>0.54479166666666667</v>
      </c>
    </row>
    <row r="329" spans="1:25">
      <c r="B329" t="str">
        <f t="shared" si="10"/>
        <v>V</v>
      </c>
      <c r="C329" t="s">
        <v>128</v>
      </c>
      <c r="D329" t="str">
        <f t="shared" si="11"/>
        <v>V-换手率</v>
      </c>
      <c r="E329" t="s">
        <v>1055</v>
      </c>
      <c r="F329" t="s">
        <v>1056</v>
      </c>
      <c r="G329" t="s">
        <v>1057</v>
      </c>
      <c r="H329">
        <v>0</v>
      </c>
      <c r="I329">
        <v>0</v>
      </c>
      <c r="J329">
        <v>0.5</v>
      </c>
      <c r="K329">
        <v>0.5</v>
      </c>
      <c r="L329">
        <v>1</v>
      </c>
      <c r="M329" t="b">
        <v>1</v>
      </c>
      <c r="N329" t="b">
        <v>1</v>
      </c>
      <c r="O329" t="b">
        <v>0</v>
      </c>
      <c r="P329" t="b">
        <v>0</v>
      </c>
      <c r="Q329" t="b">
        <v>1</v>
      </c>
      <c r="R329" t="b">
        <v>0</v>
      </c>
      <c r="S329" t="b">
        <v>1</v>
      </c>
      <c r="T329">
        <v>4</v>
      </c>
      <c r="U329" s="1">
        <v>0.53155536266390802</v>
      </c>
      <c r="V329" s="1">
        <v>0.9949413065827416</v>
      </c>
      <c r="W329" s="1">
        <v>1.3578012223312639E-3</v>
      </c>
      <c r="X329">
        <v>5</v>
      </c>
      <c r="Y329" s="1">
        <v>0.53333333333333344</v>
      </c>
    </row>
    <row r="330" spans="1:25">
      <c r="B330" t="str">
        <f t="shared" si="10"/>
        <v>V</v>
      </c>
      <c r="C330" t="s">
        <v>128</v>
      </c>
      <c r="D330" t="str">
        <f t="shared" si="11"/>
        <v>V-换手率</v>
      </c>
      <c r="E330" t="s">
        <v>1058</v>
      </c>
      <c r="F330" t="s">
        <v>1059</v>
      </c>
      <c r="G330" t="s">
        <v>1060</v>
      </c>
      <c r="H330">
        <v>0</v>
      </c>
      <c r="I330">
        <v>0</v>
      </c>
      <c r="J330">
        <v>0.5</v>
      </c>
      <c r="K330">
        <v>0.5</v>
      </c>
      <c r="L330">
        <v>1</v>
      </c>
      <c r="M330" t="b">
        <v>1</v>
      </c>
      <c r="N330" t="b">
        <v>1</v>
      </c>
      <c r="O330" t="b">
        <v>0</v>
      </c>
      <c r="P330" t="b">
        <v>0</v>
      </c>
      <c r="Q330" t="b">
        <v>0</v>
      </c>
      <c r="R330" t="b">
        <v>1</v>
      </c>
      <c r="S330" t="b">
        <v>1</v>
      </c>
      <c r="T330">
        <v>4</v>
      </c>
      <c r="U330" s="1">
        <v>0.51931507772646113</v>
      </c>
      <c r="V330" s="1">
        <v>1.0003858175541589</v>
      </c>
      <c r="W330" s="1">
        <v>8.3774744139898595E-4</v>
      </c>
      <c r="X330">
        <v>5</v>
      </c>
      <c r="Y330" s="1">
        <v>0.48645833333333338</v>
      </c>
    </row>
    <row r="331" spans="1:25">
      <c r="B331" t="str">
        <f t="shared" si="10"/>
        <v>V</v>
      </c>
      <c r="C331" t="s">
        <v>128</v>
      </c>
      <c r="D331" t="str">
        <f t="shared" si="11"/>
        <v>V-换手率</v>
      </c>
      <c r="E331" t="s">
        <v>1061</v>
      </c>
      <c r="F331" t="s">
        <v>1062</v>
      </c>
      <c r="G331" t="s">
        <v>1063</v>
      </c>
      <c r="H331">
        <v>0</v>
      </c>
      <c r="I331">
        <v>0</v>
      </c>
      <c r="J331">
        <v>0.5</v>
      </c>
      <c r="K331">
        <v>0.5</v>
      </c>
      <c r="L331">
        <v>1</v>
      </c>
      <c r="M331" t="b">
        <v>1</v>
      </c>
      <c r="N331" t="b">
        <v>1</v>
      </c>
      <c r="O331" t="b">
        <v>0</v>
      </c>
      <c r="P331" t="b">
        <v>0</v>
      </c>
      <c r="Q331" t="b">
        <v>1</v>
      </c>
      <c r="R331" t="b">
        <v>1</v>
      </c>
      <c r="S331" t="b">
        <v>1</v>
      </c>
      <c r="T331">
        <v>5</v>
      </c>
      <c r="U331" s="1">
        <v>0.53257633812906202</v>
      </c>
      <c r="V331" s="1">
        <v>1.000852392081707</v>
      </c>
      <c r="W331" s="1">
        <v>1.456336630052128E-3</v>
      </c>
      <c r="X331">
        <v>6</v>
      </c>
      <c r="Y331" s="1">
        <v>0.52604166666666674</v>
      </c>
    </row>
    <row r="332" spans="1:25">
      <c r="B332" t="str">
        <f t="shared" si="10"/>
        <v>V</v>
      </c>
      <c r="C332" t="s">
        <v>128</v>
      </c>
      <c r="D332" t="str">
        <f t="shared" si="11"/>
        <v>V-换手率</v>
      </c>
      <c r="E332" t="s">
        <v>1064</v>
      </c>
      <c r="F332" t="s">
        <v>1065</v>
      </c>
      <c r="G332" t="s">
        <v>1066</v>
      </c>
      <c r="H332">
        <v>1</v>
      </c>
      <c r="I332">
        <v>0</v>
      </c>
      <c r="J332">
        <v>0.5</v>
      </c>
      <c r="K332">
        <v>0.5</v>
      </c>
      <c r="L332">
        <v>2</v>
      </c>
      <c r="M332" t="b">
        <v>1</v>
      </c>
      <c r="N332" t="b">
        <v>1</v>
      </c>
      <c r="O332" t="b">
        <v>0</v>
      </c>
      <c r="P332" t="b">
        <v>0</v>
      </c>
      <c r="Q332" t="b">
        <v>1</v>
      </c>
      <c r="R332" t="b">
        <v>1</v>
      </c>
      <c r="S332" t="b">
        <v>1</v>
      </c>
      <c r="T332">
        <v>5</v>
      </c>
      <c r="U332" s="1">
        <v>0.52867781493581911</v>
      </c>
      <c r="V332" s="1">
        <v>1.01055055994245</v>
      </c>
      <c r="W332" s="1">
        <v>1.3968954600954741E-3</v>
      </c>
      <c r="X332">
        <v>7</v>
      </c>
      <c r="Y332" s="1">
        <v>0.55104166666666665</v>
      </c>
    </row>
    <row r="333" spans="1:25">
      <c r="A333" s="7"/>
      <c r="B333" s="2" t="str">
        <f t="shared" si="10"/>
        <v>V</v>
      </c>
      <c r="C333" s="2" t="s">
        <v>1067</v>
      </c>
      <c r="D333" s="2" t="str">
        <f t="shared" si="11"/>
        <v>V-规模</v>
      </c>
      <c r="E333" s="2" t="s">
        <v>1068</v>
      </c>
      <c r="F333" s="2" t="s">
        <v>1069</v>
      </c>
      <c r="G333" s="2" t="s">
        <v>1070</v>
      </c>
      <c r="H333" s="2">
        <v>0</v>
      </c>
      <c r="I333" s="2">
        <v>0</v>
      </c>
      <c r="J333" s="2">
        <v>0</v>
      </c>
      <c r="K333" s="2">
        <v>0</v>
      </c>
      <c r="L333" s="2">
        <v>0</v>
      </c>
      <c r="M333" s="2" t="b">
        <v>1</v>
      </c>
      <c r="N333" s="2" t="b">
        <v>1</v>
      </c>
      <c r="O333" s="2" t="b">
        <v>0</v>
      </c>
      <c r="P333" s="2" t="b">
        <v>1</v>
      </c>
      <c r="Q333" s="2" t="b">
        <v>1</v>
      </c>
      <c r="R333" s="2" t="b">
        <v>1</v>
      </c>
      <c r="S333" s="2" t="b">
        <v>1</v>
      </c>
      <c r="T333" s="2">
        <v>6</v>
      </c>
      <c r="U333" s="3">
        <v>0.52628571088114051</v>
      </c>
      <c r="V333" s="3">
        <v>1.00833578100587</v>
      </c>
      <c r="W333" s="3">
        <v>1.1998355982216901E-3</v>
      </c>
      <c r="X333" s="2">
        <v>6</v>
      </c>
      <c r="Y333" s="3">
        <v>0.51041666666666663</v>
      </c>
    </row>
    <row r="334" spans="1:25">
      <c r="F334">
        <v>0</v>
      </c>
      <c r="G334" t="s">
        <v>1071</v>
      </c>
      <c r="H334">
        <v>1</v>
      </c>
      <c r="I334">
        <v>1</v>
      </c>
      <c r="J334">
        <v>0.5</v>
      </c>
      <c r="K334">
        <v>0.5</v>
      </c>
      <c r="L334">
        <v>3</v>
      </c>
      <c r="M334" t="b">
        <v>1</v>
      </c>
      <c r="N334" t="b">
        <v>1</v>
      </c>
      <c r="O334" t="b">
        <v>0</v>
      </c>
      <c r="P334" t="b">
        <v>0</v>
      </c>
      <c r="Q334" t="b">
        <v>1</v>
      </c>
      <c r="R334" t="b">
        <v>0</v>
      </c>
      <c r="S334" t="b">
        <v>1</v>
      </c>
      <c r="T334">
        <v>4</v>
      </c>
      <c r="U334" s="1">
        <v>0.52977942408639345</v>
      </c>
      <c r="V334" s="1">
        <v>0.99925697095965216</v>
      </c>
      <c r="W334" s="1">
        <v>1.3075632038286719E-3</v>
      </c>
      <c r="X334">
        <v>7</v>
      </c>
      <c r="Y334" s="1">
        <v>0.5083333333333333</v>
      </c>
    </row>
    <row r="335" spans="1:25">
      <c r="F335">
        <v>0</v>
      </c>
      <c r="G335" t="s">
        <v>1072</v>
      </c>
      <c r="H335">
        <v>1</v>
      </c>
      <c r="I335">
        <v>0</v>
      </c>
      <c r="J335">
        <v>0.5</v>
      </c>
      <c r="K335">
        <v>0.5</v>
      </c>
      <c r="L335">
        <v>2</v>
      </c>
      <c r="M335" t="b">
        <v>1</v>
      </c>
      <c r="N335" t="b">
        <v>1</v>
      </c>
      <c r="O335" t="b">
        <v>0</v>
      </c>
      <c r="P335" t="b">
        <v>0</v>
      </c>
      <c r="Q335" t="b">
        <v>1</v>
      </c>
      <c r="R335" t="b">
        <v>0</v>
      </c>
      <c r="S335" t="b">
        <v>1</v>
      </c>
      <c r="T335">
        <v>4</v>
      </c>
      <c r="U335" s="1">
        <v>0.52996811874618732</v>
      </c>
      <c r="V335" s="1">
        <v>0.98763829899098599</v>
      </c>
      <c r="W335" s="1">
        <v>1.1611226433286179E-3</v>
      </c>
      <c r="X335">
        <v>6</v>
      </c>
      <c r="Y335" s="1">
        <v>0.515625</v>
      </c>
    </row>
    <row r="336" spans="1:25">
      <c r="F336">
        <v>0</v>
      </c>
      <c r="G336" t="s">
        <v>1073</v>
      </c>
      <c r="H336">
        <v>0</v>
      </c>
      <c r="I336">
        <v>1</v>
      </c>
      <c r="J336">
        <v>0.5</v>
      </c>
      <c r="K336">
        <v>0.5</v>
      </c>
      <c r="L336">
        <v>2</v>
      </c>
      <c r="M336" t="b">
        <v>1</v>
      </c>
      <c r="N336" t="b">
        <v>1</v>
      </c>
      <c r="O336" t="b">
        <v>0</v>
      </c>
      <c r="P336" t="b">
        <v>0</v>
      </c>
      <c r="Q336" t="b">
        <v>1</v>
      </c>
      <c r="R336" t="b">
        <v>1</v>
      </c>
      <c r="S336" t="b">
        <v>1</v>
      </c>
      <c r="T336">
        <v>5</v>
      </c>
      <c r="U336" s="1">
        <v>0.52515597192586383</v>
      </c>
      <c r="V336" s="1">
        <v>1.0200603849143071</v>
      </c>
      <c r="W336" s="1">
        <v>1.334290050121707E-3</v>
      </c>
      <c r="X336">
        <v>7</v>
      </c>
      <c r="Y336" s="1">
        <v>0.52812499999999996</v>
      </c>
    </row>
    <row r="337" spans="6:25">
      <c r="F337">
        <v>0</v>
      </c>
      <c r="G337" t="s">
        <v>1074</v>
      </c>
      <c r="H337">
        <v>1</v>
      </c>
      <c r="I337">
        <v>1</v>
      </c>
      <c r="J337">
        <v>0.5</v>
      </c>
      <c r="K337">
        <v>0.5</v>
      </c>
      <c r="L337">
        <v>3</v>
      </c>
      <c r="M337" t="b">
        <v>1</v>
      </c>
      <c r="N337" t="b">
        <v>1</v>
      </c>
      <c r="O337" t="b">
        <v>0</v>
      </c>
      <c r="P337" t="b">
        <v>0</v>
      </c>
      <c r="Q337" t="b">
        <v>1</v>
      </c>
      <c r="R337" t="b">
        <v>1</v>
      </c>
      <c r="S337" t="b">
        <v>1</v>
      </c>
      <c r="T337">
        <v>5</v>
      </c>
      <c r="U337" s="1">
        <v>0.53082087654831256</v>
      </c>
      <c r="V337" s="1">
        <v>1.000253944133511</v>
      </c>
      <c r="W337" s="1">
        <v>1.3723698550722669E-3</v>
      </c>
      <c r="X337">
        <v>8</v>
      </c>
      <c r="Y337" s="1">
        <v>0.52187499999999998</v>
      </c>
    </row>
    <row r="338" spans="6:25">
      <c r="F338">
        <v>0</v>
      </c>
      <c r="G338" t="s">
        <v>1075</v>
      </c>
      <c r="H338">
        <v>1</v>
      </c>
      <c r="I338">
        <v>1</v>
      </c>
      <c r="J338">
        <v>0.5</v>
      </c>
      <c r="K338">
        <v>0.5</v>
      </c>
      <c r="L338">
        <v>3</v>
      </c>
      <c r="M338" t="b">
        <v>1</v>
      </c>
      <c r="N338" t="b">
        <v>1</v>
      </c>
      <c r="O338" t="b">
        <v>1</v>
      </c>
      <c r="P338" t="b">
        <v>0</v>
      </c>
      <c r="Q338" t="b">
        <v>1</v>
      </c>
      <c r="R338" t="b">
        <v>1</v>
      </c>
      <c r="S338" t="b">
        <v>1</v>
      </c>
      <c r="T338">
        <v>6</v>
      </c>
      <c r="U338" s="1">
        <v>0.53263299757589389</v>
      </c>
      <c r="V338" s="1">
        <v>1.020818141928755</v>
      </c>
      <c r="W338" s="1">
        <v>1.746286113433282E-3</v>
      </c>
      <c r="X338">
        <v>9</v>
      </c>
      <c r="Y338" s="1">
        <v>0.5395833333333333</v>
      </c>
    </row>
    <row r="339" spans="6:25">
      <c r="F339">
        <v>0</v>
      </c>
      <c r="G339" t="s">
        <v>1076</v>
      </c>
      <c r="H339">
        <v>1</v>
      </c>
      <c r="I339">
        <v>1</v>
      </c>
      <c r="J339">
        <v>0.5</v>
      </c>
      <c r="K339">
        <v>0.5</v>
      </c>
      <c r="L339">
        <v>3</v>
      </c>
      <c r="M339" t="b">
        <v>1</v>
      </c>
      <c r="N339" t="b">
        <v>1</v>
      </c>
      <c r="O339" t="b">
        <v>0</v>
      </c>
      <c r="P339" t="b">
        <v>0</v>
      </c>
      <c r="Q339" t="b">
        <v>1</v>
      </c>
      <c r="R339" t="b">
        <v>0</v>
      </c>
      <c r="S339" t="b">
        <v>1</v>
      </c>
      <c r="T339">
        <v>4</v>
      </c>
      <c r="U339" s="1">
        <v>0.52976147440025478</v>
      </c>
      <c r="V339" s="1">
        <v>0.98775526161728955</v>
      </c>
      <c r="W339" s="1">
        <v>1.1666715734073309E-3</v>
      </c>
      <c r="X339">
        <v>7</v>
      </c>
      <c r="Y339" s="1">
        <v>0.4927083333333333</v>
      </c>
    </row>
    <row r="340" spans="6:25">
      <c r="F340">
        <v>0</v>
      </c>
      <c r="G340" t="s">
        <v>1077</v>
      </c>
      <c r="H340">
        <v>0</v>
      </c>
      <c r="I340">
        <v>0</v>
      </c>
      <c r="J340">
        <v>0.5</v>
      </c>
      <c r="K340">
        <v>0.5</v>
      </c>
      <c r="L340">
        <v>1</v>
      </c>
      <c r="M340" t="b">
        <v>1</v>
      </c>
      <c r="N340" t="b">
        <v>1</v>
      </c>
      <c r="O340" t="b">
        <v>1</v>
      </c>
      <c r="P340" t="b">
        <v>0</v>
      </c>
      <c r="Q340" t="b">
        <v>1</v>
      </c>
      <c r="R340" t="b">
        <v>1</v>
      </c>
      <c r="S340" t="b">
        <v>1</v>
      </c>
      <c r="T340">
        <v>6</v>
      </c>
      <c r="U340" s="1">
        <v>0.5274627797329472</v>
      </c>
      <c r="V340" s="1">
        <v>1.0217384436685351</v>
      </c>
      <c r="W340" s="1">
        <v>1.5268074749730011E-3</v>
      </c>
      <c r="X340">
        <v>7</v>
      </c>
      <c r="Y340" s="1">
        <v>0.50520833333333337</v>
      </c>
    </row>
    <row r="341" spans="6:25">
      <c r="F341">
        <v>0</v>
      </c>
      <c r="G341" t="s">
        <v>1078</v>
      </c>
      <c r="H341">
        <v>1</v>
      </c>
      <c r="I341">
        <v>1</v>
      </c>
      <c r="J341">
        <v>0.5</v>
      </c>
      <c r="K341">
        <v>0.5</v>
      </c>
      <c r="L341">
        <v>3</v>
      </c>
      <c r="M341" t="b">
        <v>1</v>
      </c>
      <c r="N341" t="b">
        <v>1</v>
      </c>
      <c r="O341" t="b">
        <v>1</v>
      </c>
      <c r="P341" t="b">
        <v>0</v>
      </c>
      <c r="Q341" t="b">
        <v>1</v>
      </c>
      <c r="R341" t="b">
        <v>1</v>
      </c>
      <c r="S341" t="b">
        <v>1</v>
      </c>
      <c r="T341">
        <v>6</v>
      </c>
      <c r="U341" s="1">
        <v>0.52957462986642656</v>
      </c>
      <c r="V341" s="1">
        <v>1.010598045406975</v>
      </c>
      <c r="W341" s="1">
        <v>1.4823529621423911E-3</v>
      </c>
      <c r="X341">
        <v>9</v>
      </c>
      <c r="Y341" s="1">
        <v>0.49895833333333328</v>
      </c>
    </row>
    <row r="342" spans="6:25">
      <c r="F342">
        <v>0</v>
      </c>
      <c r="G342" t="s">
        <v>1079</v>
      </c>
      <c r="H342">
        <v>1</v>
      </c>
      <c r="I342">
        <v>0</v>
      </c>
      <c r="J342">
        <v>0.5</v>
      </c>
      <c r="K342">
        <v>0.5</v>
      </c>
      <c r="L342">
        <v>2</v>
      </c>
      <c r="M342" t="b">
        <v>1</v>
      </c>
      <c r="N342" t="b">
        <v>1</v>
      </c>
      <c r="O342" t="b">
        <v>0</v>
      </c>
      <c r="P342" t="b">
        <v>0</v>
      </c>
      <c r="Q342" t="b">
        <v>1</v>
      </c>
      <c r="R342" t="b">
        <v>1</v>
      </c>
      <c r="S342" t="b">
        <v>1</v>
      </c>
      <c r="T342">
        <v>5</v>
      </c>
      <c r="U342" s="1">
        <v>0.52589408401796378</v>
      </c>
      <c r="V342" s="1">
        <v>1.001816433427225</v>
      </c>
      <c r="W342" s="1">
        <v>1.162966443983608E-3</v>
      </c>
      <c r="X342">
        <v>7</v>
      </c>
      <c r="Y342" s="1">
        <v>0.49166666666666659</v>
      </c>
    </row>
    <row r="343" spans="6:25">
      <c r="F343">
        <v>0</v>
      </c>
      <c r="G343" t="s">
        <v>1080</v>
      </c>
      <c r="H343">
        <v>1</v>
      </c>
      <c r="I343">
        <v>0</v>
      </c>
      <c r="J343">
        <v>0.5</v>
      </c>
      <c r="K343">
        <v>0.5</v>
      </c>
      <c r="L343">
        <v>2</v>
      </c>
      <c r="M343" t="b">
        <v>1</v>
      </c>
      <c r="N343" t="b">
        <v>1</v>
      </c>
      <c r="O343" t="b">
        <v>0</v>
      </c>
      <c r="P343" t="b">
        <v>0</v>
      </c>
      <c r="Q343" t="b">
        <v>0</v>
      </c>
      <c r="R343" t="b">
        <v>1</v>
      </c>
      <c r="S343" t="b">
        <v>1</v>
      </c>
      <c r="T343">
        <v>4</v>
      </c>
      <c r="U343" s="1">
        <v>0.51800895285338877</v>
      </c>
      <c r="V343" s="1">
        <v>1.041562849821317</v>
      </c>
      <c r="W343" s="1">
        <v>1.3019247472219519E-3</v>
      </c>
      <c r="X343">
        <v>6</v>
      </c>
      <c r="Y343" s="1">
        <v>0.49583333333333329</v>
      </c>
    </row>
    <row r="344" spans="6:25">
      <c r="F344">
        <v>0</v>
      </c>
      <c r="G344" t="s">
        <v>1081</v>
      </c>
      <c r="H344">
        <v>1</v>
      </c>
      <c r="I344">
        <v>1</v>
      </c>
      <c r="J344">
        <v>0.5</v>
      </c>
      <c r="K344">
        <v>0.5</v>
      </c>
      <c r="L344">
        <v>3</v>
      </c>
      <c r="M344" t="b">
        <v>1</v>
      </c>
      <c r="N344" t="b">
        <v>1</v>
      </c>
      <c r="O344" t="b">
        <v>0</v>
      </c>
      <c r="P344" t="b">
        <v>0</v>
      </c>
      <c r="Q344" t="b">
        <v>1</v>
      </c>
      <c r="R344" t="b">
        <v>1</v>
      </c>
      <c r="S344" t="b">
        <v>1</v>
      </c>
      <c r="T344">
        <v>5</v>
      </c>
      <c r="U344" s="1">
        <v>0.52722554623158957</v>
      </c>
      <c r="V344" s="1">
        <v>1.0162133240083391</v>
      </c>
      <c r="W344" s="1">
        <v>1.385221207479327E-3</v>
      </c>
      <c r="X344">
        <v>8</v>
      </c>
      <c r="Y344" s="1">
        <v>0.50937500000000002</v>
      </c>
    </row>
    <row r="345" spans="6:25">
      <c r="F345">
        <v>0</v>
      </c>
      <c r="G345" t="s">
        <v>1082</v>
      </c>
      <c r="H345">
        <v>1</v>
      </c>
      <c r="I345">
        <v>1</v>
      </c>
      <c r="J345">
        <v>0.5</v>
      </c>
      <c r="K345">
        <v>0.5</v>
      </c>
      <c r="L345">
        <v>3</v>
      </c>
      <c r="M345" t="b">
        <v>1</v>
      </c>
      <c r="N345" t="b">
        <v>1</v>
      </c>
      <c r="O345" t="b">
        <v>1</v>
      </c>
      <c r="P345" t="b">
        <v>0</v>
      </c>
      <c r="Q345" t="b">
        <v>1</v>
      </c>
      <c r="R345" t="b">
        <v>1</v>
      </c>
      <c r="S345" t="b">
        <v>1</v>
      </c>
      <c r="T345">
        <v>6</v>
      </c>
      <c r="U345" s="1">
        <v>0.52826733335445197</v>
      </c>
      <c r="V345" s="1">
        <v>1.035247767188338</v>
      </c>
      <c r="W345" s="1">
        <v>1.7387023468574841E-3</v>
      </c>
      <c r="X345">
        <v>9</v>
      </c>
      <c r="Y345" s="1">
        <v>0.52500000000000002</v>
      </c>
    </row>
    <row r="346" spans="6:25">
      <c r="F346">
        <v>0</v>
      </c>
      <c r="G346" t="s">
        <v>1083</v>
      </c>
      <c r="H346">
        <v>1</v>
      </c>
      <c r="I346">
        <v>1</v>
      </c>
      <c r="J346">
        <v>0.5</v>
      </c>
      <c r="K346">
        <v>0.5</v>
      </c>
      <c r="L346">
        <v>3</v>
      </c>
      <c r="M346" t="b">
        <v>1</v>
      </c>
      <c r="N346" t="b">
        <v>1</v>
      </c>
      <c r="O346" t="b">
        <v>0</v>
      </c>
      <c r="P346" t="b">
        <v>0</v>
      </c>
      <c r="Q346" t="b">
        <v>1</v>
      </c>
      <c r="R346" t="b">
        <v>0</v>
      </c>
      <c r="S346" t="b">
        <v>1</v>
      </c>
      <c r="T346">
        <v>4</v>
      </c>
      <c r="U346" s="1">
        <v>0.53055737667664671</v>
      </c>
      <c r="V346" s="1">
        <v>0.98405641902683194</v>
      </c>
      <c r="W346" s="1">
        <v>1.164259924771176E-3</v>
      </c>
      <c r="X346">
        <v>7</v>
      </c>
      <c r="Y346" s="1">
        <v>0.50312500000000004</v>
      </c>
    </row>
    <row r="347" spans="6:25">
      <c r="F347">
        <v>0</v>
      </c>
      <c r="G347" t="s">
        <v>1084</v>
      </c>
      <c r="H347">
        <v>0</v>
      </c>
      <c r="I347">
        <v>1</v>
      </c>
      <c r="J347">
        <v>0.5</v>
      </c>
      <c r="K347">
        <v>0.5</v>
      </c>
      <c r="L347">
        <v>2</v>
      </c>
      <c r="M347" t="b">
        <v>1</v>
      </c>
      <c r="N347" t="b">
        <v>1</v>
      </c>
      <c r="O347" t="b">
        <v>0</v>
      </c>
      <c r="P347" t="b">
        <v>0</v>
      </c>
      <c r="Q347" t="b">
        <v>1</v>
      </c>
      <c r="R347" t="b">
        <v>0</v>
      </c>
      <c r="S347" t="b">
        <v>1</v>
      </c>
      <c r="T347">
        <v>4</v>
      </c>
      <c r="U347" s="1">
        <v>0.52440100289979763</v>
      </c>
      <c r="V347" s="1">
        <v>0.99700776465160212</v>
      </c>
      <c r="W347" s="1">
        <v>1.027690327630743E-3</v>
      </c>
      <c r="X347">
        <v>6</v>
      </c>
      <c r="Y347" s="1">
        <v>0.51041666666666674</v>
      </c>
    </row>
    <row r="348" spans="6:25">
      <c r="F348">
        <v>0</v>
      </c>
      <c r="G348" t="s">
        <v>1085</v>
      </c>
      <c r="H348">
        <v>1</v>
      </c>
      <c r="I348">
        <v>0</v>
      </c>
      <c r="J348">
        <v>0.5</v>
      </c>
      <c r="K348">
        <v>0.5</v>
      </c>
      <c r="L348">
        <v>2</v>
      </c>
      <c r="M348" t="b">
        <v>1</v>
      </c>
      <c r="N348" t="b">
        <v>1</v>
      </c>
      <c r="O348" t="b">
        <v>0</v>
      </c>
      <c r="P348" t="b">
        <v>0</v>
      </c>
      <c r="Q348" t="b">
        <v>1</v>
      </c>
      <c r="R348" t="b">
        <v>0</v>
      </c>
      <c r="S348" t="b">
        <v>1</v>
      </c>
      <c r="T348">
        <v>4</v>
      </c>
      <c r="U348" s="1">
        <v>0.5246825672326535</v>
      </c>
      <c r="V348" s="1">
        <v>0.98993364135972828</v>
      </c>
      <c r="W348" s="1">
        <v>1.0318963504645721E-3</v>
      </c>
      <c r="X348">
        <v>6</v>
      </c>
      <c r="Y348" s="1">
        <v>0.51770833333333344</v>
      </c>
    </row>
    <row r="349" spans="6:25">
      <c r="F349">
        <v>0</v>
      </c>
      <c r="G349" t="s">
        <v>1086</v>
      </c>
      <c r="H349">
        <v>0</v>
      </c>
      <c r="I349">
        <v>0</v>
      </c>
      <c r="J349">
        <v>0.5</v>
      </c>
      <c r="K349">
        <v>0.5</v>
      </c>
      <c r="L349">
        <v>1</v>
      </c>
      <c r="M349" t="b">
        <v>1</v>
      </c>
      <c r="N349" t="b">
        <v>1</v>
      </c>
      <c r="O349" t="b">
        <v>0</v>
      </c>
      <c r="P349" t="b">
        <v>0</v>
      </c>
      <c r="Q349" t="b">
        <v>1</v>
      </c>
      <c r="R349" t="b">
        <v>0</v>
      </c>
      <c r="S349" t="b">
        <v>1</v>
      </c>
      <c r="T349">
        <v>4</v>
      </c>
      <c r="U349" s="1">
        <v>0.53128362917784133</v>
      </c>
      <c r="V349" s="1">
        <v>0.97590261584267179</v>
      </c>
      <c r="W349" s="1">
        <v>1.0960699082705929E-3</v>
      </c>
      <c r="X349">
        <v>5</v>
      </c>
      <c r="Y349" s="1">
        <v>0.52395833333333341</v>
      </c>
    </row>
    <row r="350" spans="6:25">
      <c r="F350">
        <v>0</v>
      </c>
      <c r="G350" t="s">
        <v>1087</v>
      </c>
      <c r="H350">
        <v>0</v>
      </c>
      <c r="I350">
        <v>0</v>
      </c>
      <c r="J350">
        <v>0.5</v>
      </c>
      <c r="K350">
        <v>0.5</v>
      </c>
      <c r="L350">
        <v>1</v>
      </c>
      <c r="M350" t="b">
        <v>1</v>
      </c>
      <c r="N350" t="b">
        <v>1</v>
      </c>
      <c r="O350" t="b">
        <v>0</v>
      </c>
      <c r="P350" t="b">
        <v>0</v>
      </c>
      <c r="Q350" t="b">
        <v>1</v>
      </c>
      <c r="R350" t="b">
        <v>0</v>
      </c>
      <c r="S350" t="b">
        <v>1</v>
      </c>
      <c r="T350">
        <v>4</v>
      </c>
      <c r="U350" s="1">
        <v>0.52716561710845067</v>
      </c>
      <c r="V350" s="1">
        <v>0.99221245076659359</v>
      </c>
      <c r="W350" s="1">
        <v>1.084732067899307E-3</v>
      </c>
      <c r="X350">
        <v>5</v>
      </c>
      <c r="Y350" s="1">
        <v>0.51354166666666656</v>
      </c>
    </row>
    <row r="351" spans="6:25">
      <c r="F351">
        <v>0</v>
      </c>
      <c r="G351" t="s">
        <v>1088</v>
      </c>
      <c r="H351">
        <v>0</v>
      </c>
      <c r="I351">
        <v>1</v>
      </c>
      <c r="J351">
        <v>0.5</v>
      </c>
      <c r="K351">
        <v>0.5</v>
      </c>
      <c r="L351">
        <v>2</v>
      </c>
      <c r="M351" t="b">
        <v>1</v>
      </c>
      <c r="N351" t="b">
        <v>1</v>
      </c>
      <c r="O351" t="b">
        <v>0</v>
      </c>
      <c r="P351" t="b">
        <v>0</v>
      </c>
      <c r="Q351" t="b">
        <v>1</v>
      </c>
      <c r="R351" t="b">
        <v>0</v>
      </c>
      <c r="S351" t="b">
        <v>1</v>
      </c>
      <c r="T351">
        <v>4</v>
      </c>
      <c r="U351" s="1">
        <v>0.52615470550579202</v>
      </c>
      <c r="V351" s="1">
        <v>0.98590743822201055</v>
      </c>
      <c r="W351" s="1">
        <v>9.7931623554607596E-4</v>
      </c>
      <c r="X351">
        <v>6</v>
      </c>
      <c r="Y351" s="1">
        <v>0.49583333333333329</v>
      </c>
    </row>
    <row r="352" spans="6:25">
      <c r="F352">
        <v>0</v>
      </c>
      <c r="G352" t="s">
        <v>1089</v>
      </c>
      <c r="H352">
        <v>1</v>
      </c>
      <c r="I352">
        <v>1</v>
      </c>
      <c r="J352">
        <v>0.5</v>
      </c>
      <c r="K352">
        <v>0.5</v>
      </c>
      <c r="L352">
        <v>3</v>
      </c>
      <c r="M352" t="b">
        <v>1</v>
      </c>
      <c r="N352" t="b">
        <v>1</v>
      </c>
      <c r="O352" t="b">
        <v>0</v>
      </c>
      <c r="P352" t="b">
        <v>0</v>
      </c>
      <c r="Q352" t="b">
        <v>0</v>
      </c>
      <c r="R352" t="b">
        <v>1</v>
      </c>
      <c r="S352" t="b">
        <v>1</v>
      </c>
      <c r="T352">
        <v>4</v>
      </c>
      <c r="U352" s="1">
        <v>0.51132207751106384</v>
      </c>
      <c r="V352" s="1">
        <v>1.027849471350162</v>
      </c>
      <c r="W352" s="1">
        <v>7.9617272385192203E-4</v>
      </c>
      <c r="X352">
        <v>7</v>
      </c>
      <c r="Y352" s="1">
        <v>0.48020833333333329</v>
      </c>
    </row>
    <row r="353" spans="6:25">
      <c r="F353">
        <v>0</v>
      </c>
      <c r="G353" t="s">
        <v>1090</v>
      </c>
      <c r="H353">
        <v>1</v>
      </c>
      <c r="I353">
        <v>1</v>
      </c>
      <c r="J353">
        <v>0.5</v>
      </c>
      <c r="K353">
        <v>0.5</v>
      </c>
      <c r="L353">
        <v>3</v>
      </c>
      <c r="M353" t="b">
        <v>1</v>
      </c>
      <c r="N353" t="b">
        <v>1</v>
      </c>
      <c r="O353" t="b">
        <v>0</v>
      </c>
      <c r="P353" t="b">
        <v>0</v>
      </c>
      <c r="Q353" t="b">
        <v>1</v>
      </c>
      <c r="R353" t="b">
        <v>1</v>
      </c>
      <c r="S353" t="b">
        <v>1</v>
      </c>
      <c r="T353">
        <v>5</v>
      </c>
      <c r="U353" s="1">
        <v>0.53082087654831256</v>
      </c>
      <c r="V353" s="1">
        <v>1.000253944133511</v>
      </c>
      <c r="W353" s="1">
        <v>1.3723698550722669E-3</v>
      </c>
      <c r="X353">
        <v>8</v>
      </c>
      <c r="Y353" s="1">
        <v>0.52187499999999998</v>
      </c>
    </row>
    <row r="354" spans="6:25">
      <c r="F354">
        <v>0</v>
      </c>
      <c r="G354" t="s">
        <v>1091</v>
      </c>
      <c r="H354">
        <v>1</v>
      </c>
      <c r="I354">
        <v>1</v>
      </c>
      <c r="J354">
        <v>0.5</v>
      </c>
      <c r="K354">
        <v>0.5</v>
      </c>
      <c r="L354">
        <v>3</v>
      </c>
      <c r="M354" t="b">
        <v>1</v>
      </c>
      <c r="N354" t="b">
        <v>1</v>
      </c>
      <c r="O354" t="b">
        <v>1</v>
      </c>
      <c r="P354" t="b">
        <v>0</v>
      </c>
      <c r="Q354" t="b">
        <v>1</v>
      </c>
      <c r="R354" t="b">
        <v>1</v>
      </c>
      <c r="S354" t="b">
        <v>1</v>
      </c>
      <c r="T354">
        <v>6</v>
      </c>
      <c r="U354" s="1">
        <v>0.52930163380891471</v>
      </c>
      <c r="V354" s="1">
        <v>1.01854835424442</v>
      </c>
      <c r="W354" s="1">
        <v>1.5595833032576089E-3</v>
      </c>
      <c r="X354">
        <v>9</v>
      </c>
      <c r="Y354" s="1">
        <v>0.52187499999999998</v>
      </c>
    </row>
    <row r="355" spans="6:25">
      <c r="F355">
        <v>0</v>
      </c>
      <c r="G355" t="s">
        <v>1092</v>
      </c>
      <c r="H355">
        <v>0</v>
      </c>
      <c r="I355">
        <v>1</v>
      </c>
      <c r="J355">
        <v>0</v>
      </c>
      <c r="K355">
        <v>0</v>
      </c>
      <c r="L355">
        <v>1</v>
      </c>
      <c r="M355" t="b">
        <v>1</v>
      </c>
      <c r="N355" t="b">
        <v>1</v>
      </c>
      <c r="O355" t="b">
        <v>0</v>
      </c>
      <c r="P355" t="b">
        <v>0</v>
      </c>
      <c r="Q355" t="b">
        <v>1</v>
      </c>
      <c r="R355" t="b">
        <v>0</v>
      </c>
      <c r="S355" t="b">
        <v>1</v>
      </c>
      <c r="T355">
        <v>4</v>
      </c>
      <c r="U355" s="1">
        <v>0.52183318757945663</v>
      </c>
      <c r="V355" s="1">
        <v>0.99298338646216422</v>
      </c>
      <c r="W355" s="1">
        <v>8.6517814557506673E-4</v>
      </c>
      <c r="X355">
        <v>5</v>
      </c>
      <c r="Y355" s="1">
        <v>0.50312500000000004</v>
      </c>
    </row>
    <row r="356" spans="6:25">
      <c r="F356">
        <v>0</v>
      </c>
      <c r="G356" t="s">
        <v>1093</v>
      </c>
      <c r="H356">
        <v>1</v>
      </c>
      <c r="I356">
        <v>1</v>
      </c>
      <c r="J356">
        <v>0.5</v>
      </c>
      <c r="K356">
        <v>0.5</v>
      </c>
      <c r="L356">
        <v>3</v>
      </c>
      <c r="M356" t="b">
        <v>1</v>
      </c>
      <c r="N356" t="b">
        <v>1</v>
      </c>
      <c r="O356" t="b">
        <v>0</v>
      </c>
      <c r="P356" t="b">
        <v>0</v>
      </c>
      <c r="Q356" t="b">
        <v>1</v>
      </c>
      <c r="R356" t="b">
        <v>0</v>
      </c>
      <c r="S356" t="b">
        <v>1</v>
      </c>
      <c r="T356">
        <v>4</v>
      </c>
      <c r="U356" s="1">
        <v>0.52976147440025478</v>
      </c>
      <c r="V356" s="1">
        <v>0.98775526161728955</v>
      </c>
      <c r="W356" s="1">
        <v>1.1666715734073309E-3</v>
      </c>
      <c r="X356">
        <v>7</v>
      </c>
      <c r="Y356" s="1">
        <v>0.4927083333333333</v>
      </c>
    </row>
    <row r="357" spans="6:25">
      <c r="F357">
        <v>0</v>
      </c>
      <c r="G357" t="s">
        <v>1094</v>
      </c>
      <c r="H357">
        <v>0</v>
      </c>
      <c r="I357">
        <v>0</v>
      </c>
      <c r="J357">
        <v>0.5</v>
      </c>
      <c r="K357">
        <v>0.5</v>
      </c>
      <c r="L357">
        <v>1</v>
      </c>
      <c r="M357" t="b">
        <v>1</v>
      </c>
      <c r="N357" t="b">
        <v>1</v>
      </c>
      <c r="O357" t="b">
        <v>1</v>
      </c>
      <c r="P357" t="b">
        <v>0</v>
      </c>
      <c r="Q357" t="b">
        <v>1</v>
      </c>
      <c r="R357" t="b">
        <v>1</v>
      </c>
      <c r="S357" t="b">
        <v>1</v>
      </c>
      <c r="T357">
        <v>6</v>
      </c>
      <c r="U357" s="1">
        <v>0.5274627797329472</v>
      </c>
      <c r="V357" s="1">
        <v>1.0217384436685351</v>
      </c>
      <c r="W357" s="1">
        <v>1.5268074749730011E-3</v>
      </c>
      <c r="X357">
        <v>7</v>
      </c>
      <c r="Y357" s="1">
        <v>0.50520833333333337</v>
      </c>
    </row>
    <row r="358" spans="6:25">
      <c r="F358">
        <v>0</v>
      </c>
      <c r="G358" t="s">
        <v>1095</v>
      </c>
      <c r="H358">
        <v>1</v>
      </c>
      <c r="I358">
        <v>1</v>
      </c>
      <c r="J358">
        <v>0.5</v>
      </c>
      <c r="K358">
        <v>0.5</v>
      </c>
      <c r="L358">
        <v>3</v>
      </c>
      <c r="M358" t="b">
        <v>1</v>
      </c>
      <c r="N358" t="b">
        <v>1</v>
      </c>
      <c r="O358" t="b">
        <v>0</v>
      </c>
      <c r="P358" t="b">
        <v>0</v>
      </c>
      <c r="Q358" t="b">
        <v>1</v>
      </c>
      <c r="R358" t="b">
        <v>1</v>
      </c>
      <c r="S358" t="b">
        <v>1</v>
      </c>
      <c r="T358">
        <v>5</v>
      </c>
      <c r="U358" s="1">
        <v>0.52494834873747709</v>
      </c>
      <c r="V358" s="1">
        <v>1.0106564405173419</v>
      </c>
      <c r="W358" s="1">
        <v>1.2421690584938599E-3</v>
      </c>
      <c r="X358">
        <v>8</v>
      </c>
      <c r="Y358" s="1">
        <v>0.51145833333333335</v>
      </c>
    </row>
    <row r="359" spans="6:25">
      <c r="F359">
        <v>0</v>
      </c>
      <c r="G359" t="s">
        <v>1096</v>
      </c>
      <c r="H359">
        <v>1</v>
      </c>
      <c r="I359">
        <v>0</v>
      </c>
      <c r="J359">
        <v>0.5</v>
      </c>
      <c r="K359">
        <v>0.5</v>
      </c>
      <c r="L359">
        <v>2</v>
      </c>
      <c r="M359" t="b">
        <v>1</v>
      </c>
      <c r="N359" t="b">
        <v>1</v>
      </c>
      <c r="O359" t="b">
        <v>0</v>
      </c>
      <c r="P359" t="b">
        <v>0</v>
      </c>
      <c r="Q359" t="b">
        <v>1</v>
      </c>
      <c r="R359" t="b">
        <v>1</v>
      </c>
      <c r="S359" t="b">
        <v>1</v>
      </c>
      <c r="T359">
        <v>5</v>
      </c>
      <c r="U359" s="1">
        <v>0.5256317306448246</v>
      </c>
      <c r="V359" s="1">
        <v>1.002163500574073</v>
      </c>
      <c r="W359" s="1">
        <v>1.151259103950406E-3</v>
      </c>
      <c r="X359">
        <v>7</v>
      </c>
      <c r="Y359" s="1">
        <v>0.48749999999999999</v>
      </c>
    </row>
    <row r="360" spans="6:25">
      <c r="F360">
        <v>0</v>
      </c>
      <c r="G360" t="s">
        <v>1097</v>
      </c>
      <c r="H360">
        <v>1</v>
      </c>
      <c r="I360">
        <v>0</v>
      </c>
      <c r="J360">
        <v>0.5</v>
      </c>
      <c r="K360">
        <v>0.5</v>
      </c>
      <c r="L360">
        <v>2</v>
      </c>
      <c r="M360" t="b">
        <v>1</v>
      </c>
      <c r="N360" t="b">
        <v>1</v>
      </c>
      <c r="O360" t="b">
        <v>0</v>
      </c>
      <c r="P360" t="b">
        <v>0</v>
      </c>
      <c r="Q360" t="b">
        <v>0</v>
      </c>
      <c r="R360" t="b">
        <v>1</v>
      </c>
      <c r="S360" t="b">
        <v>1</v>
      </c>
      <c r="T360">
        <v>4</v>
      </c>
      <c r="U360" s="1">
        <v>0.51877644945886181</v>
      </c>
      <c r="V360" s="1">
        <v>1.03395159028982</v>
      </c>
      <c r="W360" s="1">
        <v>1.2428520889771111E-3</v>
      </c>
      <c r="X360">
        <v>6</v>
      </c>
      <c r="Y360" s="1">
        <v>0.49895833333333339</v>
      </c>
    </row>
    <row r="361" spans="6:25">
      <c r="F361">
        <v>0</v>
      </c>
      <c r="G361" t="s">
        <v>1098</v>
      </c>
      <c r="H361">
        <v>1</v>
      </c>
      <c r="I361">
        <v>1</v>
      </c>
      <c r="J361">
        <v>0.5</v>
      </c>
      <c r="K361">
        <v>0.5</v>
      </c>
      <c r="L361">
        <v>3</v>
      </c>
      <c r="M361" t="b">
        <v>1</v>
      </c>
      <c r="N361" t="b">
        <v>1</v>
      </c>
      <c r="O361" t="b">
        <v>1</v>
      </c>
      <c r="P361" t="b">
        <v>0</v>
      </c>
      <c r="Q361" t="b">
        <v>1</v>
      </c>
      <c r="R361" t="b">
        <v>1</v>
      </c>
      <c r="S361" t="b">
        <v>1</v>
      </c>
      <c r="T361">
        <v>6</v>
      </c>
      <c r="U361" s="1">
        <v>0.53543437457302578</v>
      </c>
      <c r="V361" s="1">
        <v>1.041403486551723</v>
      </c>
      <c r="W361" s="1">
        <v>2.1260251873377869E-3</v>
      </c>
      <c r="X361">
        <v>9</v>
      </c>
      <c r="Y361" s="1">
        <v>0.55208333333333337</v>
      </c>
    </row>
    <row r="362" spans="6:25">
      <c r="F362">
        <v>0</v>
      </c>
      <c r="G362" t="s">
        <v>1099</v>
      </c>
      <c r="H362">
        <v>1</v>
      </c>
      <c r="I362">
        <v>0</v>
      </c>
      <c r="J362">
        <v>0.5</v>
      </c>
      <c r="K362">
        <v>0.5</v>
      </c>
      <c r="L362">
        <v>2</v>
      </c>
      <c r="M362" t="b">
        <v>1</v>
      </c>
      <c r="N362" t="b">
        <v>1</v>
      </c>
      <c r="O362" t="b">
        <v>1</v>
      </c>
      <c r="P362" t="b">
        <v>0</v>
      </c>
      <c r="Q362" t="b">
        <v>1</v>
      </c>
      <c r="R362" t="b">
        <v>1</v>
      </c>
      <c r="S362" t="b">
        <v>1</v>
      </c>
      <c r="T362">
        <v>6</v>
      </c>
      <c r="U362" s="1">
        <v>0.53132175225388312</v>
      </c>
      <c r="V362" s="1">
        <v>1.0478761160653769</v>
      </c>
      <c r="W362" s="1">
        <v>2.043021039307973E-3</v>
      </c>
      <c r="X362">
        <v>8</v>
      </c>
      <c r="Y362" s="1">
        <v>0.55312499999999998</v>
      </c>
    </row>
    <row r="363" spans="6:25">
      <c r="F363">
        <v>0</v>
      </c>
      <c r="G363" t="s">
        <v>1100</v>
      </c>
      <c r="H363">
        <v>1</v>
      </c>
      <c r="I363">
        <v>0</v>
      </c>
      <c r="J363">
        <v>0.5</v>
      </c>
      <c r="K363">
        <v>0.5</v>
      </c>
      <c r="L363">
        <v>2</v>
      </c>
      <c r="M363" t="b">
        <v>1</v>
      </c>
      <c r="N363" t="b">
        <v>1</v>
      </c>
      <c r="O363" t="b">
        <v>1</v>
      </c>
      <c r="P363" t="b">
        <v>0</v>
      </c>
      <c r="Q363" t="b">
        <v>1</v>
      </c>
      <c r="R363" t="b">
        <v>1</v>
      </c>
      <c r="S363" t="b">
        <v>1</v>
      </c>
      <c r="T363">
        <v>6</v>
      </c>
      <c r="U363" s="1">
        <v>0.53029486372887713</v>
      </c>
      <c r="V363" s="1">
        <v>1.050413956782388</v>
      </c>
      <c r="W363" s="1">
        <v>2.0176466272160539E-3</v>
      </c>
      <c r="X363">
        <v>8</v>
      </c>
      <c r="Y363" s="1">
        <v>0.54062500000000002</v>
      </c>
    </row>
    <row r="364" spans="6:25">
      <c r="F364">
        <v>0</v>
      </c>
      <c r="G364" t="s">
        <v>1101</v>
      </c>
      <c r="H364">
        <v>1</v>
      </c>
      <c r="I364">
        <v>1</v>
      </c>
      <c r="J364">
        <v>0.5</v>
      </c>
      <c r="K364">
        <v>0.5</v>
      </c>
      <c r="L364">
        <v>3</v>
      </c>
      <c r="M364" t="b">
        <v>1</v>
      </c>
      <c r="N364" t="b">
        <v>1</v>
      </c>
      <c r="O364" t="b">
        <v>1</v>
      </c>
      <c r="P364" t="b">
        <v>0</v>
      </c>
      <c r="Q364" t="b">
        <v>1</v>
      </c>
      <c r="R364" t="b">
        <v>1</v>
      </c>
      <c r="S364" t="b">
        <v>1</v>
      </c>
      <c r="T364">
        <v>6</v>
      </c>
      <c r="U364" s="1">
        <v>0.53778600979353142</v>
      </c>
      <c r="V364" s="1">
        <v>1.056870897709433</v>
      </c>
      <c r="W364" s="1">
        <v>2.4375497201621068E-3</v>
      </c>
      <c r="X364">
        <v>9</v>
      </c>
      <c r="Y364" s="1">
        <v>0.5541666666666667</v>
      </c>
    </row>
  </sheetData>
  <autoFilter ref="A1:Y364" xr:uid="{00000000-0009-0000-0000-000000000000}">
    <sortState xmlns:xlrd2="http://schemas.microsoft.com/office/spreadsheetml/2017/richdata2" ref="A2:Y364">
      <sortCondition ref="D1:D364"/>
    </sortState>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workbookViewId="0">
      <selection activeCell="F6" sqref="F6"/>
    </sheetView>
  </sheetViews>
  <sheetFormatPr baseColWidth="10" defaultRowHeight="14"/>
  <cols>
    <col min="1" max="1" width="11" style="8" customWidth="1"/>
    <col min="2" max="2" width="24" customWidth="1"/>
    <col min="3" max="3" width="18.3984375" style="8" bestFit="1" customWidth="1"/>
    <col min="4" max="4" width="83.796875" style="9" customWidth="1"/>
    <col min="5" max="5" width="18" customWidth="1"/>
    <col min="6" max="6" width="83.796875" style="9" customWidth="1"/>
  </cols>
  <sheetData>
    <row r="1" spans="1:6" ht="15" customHeight="1">
      <c r="A1" s="8" t="s">
        <v>0</v>
      </c>
      <c r="B1" s="10" t="s">
        <v>4</v>
      </c>
      <c r="C1" s="8" t="s">
        <v>1</v>
      </c>
      <c r="D1" s="9" t="s">
        <v>2</v>
      </c>
      <c r="E1" s="10" t="s">
        <v>5</v>
      </c>
      <c r="F1" s="9" t="s">
        <v>3</v>
      </c>
    </row>
    <row r="2" spans="1:6" ht="45" customHeight="1">
      <c r="A2" s="8" t="s">
        <v>6</v>
      </c>
      <c r="B2" s="11" t="s">
        <v>10</v>
      </c>
      <c r="C2" s="8" t="s">
        <v>7</v>
      </c>
      <c r="D2" s="9" t="s">
        <v>8</v>
      </c>
      <c r="E2" s="11" t="s">
        <v>11</v>
      </c>
      <c r="F2" s="9" t="s">
        <v>9</v>
      </c>
    </row>
    <row r="3" spans="1:6" ht="45" customHeight="1">
      <c r="A3" s="8" t="s">
        <v>6</v>
      </c>
      <c r="B3" s="11" t="s">
        <v>14</v>
      </c>
      <c r="C3" s="8" t="s">
        <v>12</v>
      </c>
      <c r="D3" s="9" t="s">
        <v>13</v>
      </c>
      <c r="E3" s="11" t="s">
        <v>11</v>
      </c>
    </row>
    <row r="4" spans="1:6" ht="45" customHeight="1">
      <c r="A4" s="8" t="s">
        <v>6</v>
      </c>
      <c r="B4" s="11" t="s">
        <v>17</v>
      </c>
      <c r="C4" s="8" t="s">
        <v>15</v>
      </c>
      <c r="D4" s="9" t="s">
        <v>16</v>
      </c>
      <c r="E4" s="11" t="s">
        <v>11</v>
      </c>
    </row>
    <row r="5" spans="1:6" ht="45" customHeight="1">
      <c r="A5" s="8" t="s">
        <v>18</v>
      </c>
      <c r="B5" s="11" t="s">
        <v>21</v>
      </c>
      <c r="C5" s="8" t="s">
        <v>19</v>
      </c>
      <c r="D5" s="9" t="s">
        <v>20</v>
      </c>
      <c r="E5" s="11" t="s">
        <v>11</v>
      </c>
    </row>
    <row r="6" spans="1:6" ht="60" customHeight="1">
      <c r="A6" s="8" t="s">
        <v>18</v>
      </c>
      <c r="B6" s="11" t="s">
        <v>24</v>
      </c>
      <c r="C6" s="8" t="s">
        <v>22</v>
      </c>
      <c r="D6" s="9" t="s">
        <v>23</v>
      </c>
      <c r="E6" s="11" t="s">
        <v>25</v>
      </c>
    </row>
    <row r="7" spans="1:6" ht="45" customHeight="1">
      <c r="A7" s="8" t="s">
        <v>18</v>
      </c>
      <c r="B7" s="11" t="s">
        <v>28</v>
      </c>
      <c r="C7" s="8" t="s">
        <v>26</v>
      </c>
      <c r="D7" s="9" t="s">
        <v>27</v>
      </c>
      <c r="E7" s="11" t="s">
        <v>11</v>
      </c>
    </row>
    <row r="8" spans="1:6" ht="75" customHeight="1">
      <c r="A8" s="8" t="s">
        <v>29</v>
      </c>
      <c r="B8" s="11" t="s">
        <v>32</v>
      </c>
      <c r="C8" s="8" t="s">
        <v>30</v>
      </c>
      <c r="D8" s="9" t="s">
        <v>31</v>
      </c>
      <c r="E8" s="11" t="s">
        <v>25</v>
      </c>
    </row>
    <row r="9" spans="1:6" ht="75" customHeight="1">
      <c r="A9" s="8" t="s">
        <v>29</v>
      </c>
      <c r="B9" s="11" t="s">
        <v>35</v>
      </c>
      <c r="C9" s="8" t="s">
        <v>33</v>
      </c>
      <c r="D9" s="9" t="s">
        <v>34</v>
      </c>
      <c r="E9" s="11" t="s">
        <v>25</v>
      </c>
    </row>
    <row r="10" spans="1:6" ht="30" customHeight="1">
      <c r="A10" s="8" t="s">
        <v>36</v>
      </c>
      <c r="B10" s="11" t="s">
        <v>39</v>
      </c>
      <c r="C10" s="8" t="s">
        <v>37</v>
      </c>
      <c r="D10" s="9" t="s">
        <v>38</v>
      </c>
      <c r="E10" s="11" t="s">
        <v>11</v>
      </c>
    </row>
    <row r="11" spans="1:6" ht="30" customHeight="1">
      <c r="A11" s="8" t="s">
        <v>36</v>
      </c>
      <c r="B11" s="11" t="s">
        <v>39</v>
      </c>
      <c r="C11" s="8" t="s">
        <v>40</v>
      </c>
      <c r="D11" s="9" t="s">
        <v>41</v>
      </c>
      <c r="E11" s="11" t="s">
        <v>42</v>
      </c>
    </row>
    <row r="12" spans="1:6" ht="30" customHeight="1">
      <c r="A12" s="8" t="s">
        <v>36</v>
      </c>
      <c r="B12" s="11" t="s">
        <v>45</v>
      </c>
      <c r="C12" s="8" t="s">
        <v>43</v>
      </c>
      <c r="D12" s="9" t="s">
        <v>44</v>
      </c>
      <c r="E12" s="11" t="s">
        <v>11</v>
      </c>
    </row>
    <row r="13" spans="1:6" ht="30" customHeight="1">
      <c r="A13" s="8" t="s">
        <v>36</v>
      </c>
      <c r="B13" s="11" t="s">
        <v>48</v>
      </c>
      <c r="C13" s="8" t="s">
        <v>46</v>
      </c>
      <c r="D13" s="9" t="s">
        <v>47</v>
      </c>
      <c r="E13" s="11" t="s">
        <v>11</v>
      </c>
    </row>
    <row r="14" spans="1:6" ht="45" customHeight="1">
      <c r="A14" s="8" t="s">
        <v>36</v>
      </c>
      <c r="B14" s="11" t="s">
        <v>51</v>
      </c>
      <c r="C14" s="8" t="s">
        <v>49</v>
      </c>
      <c r="D14" s="9" t="s">
        <v>50</v>
      </c>
      <c r="E14" s="11" t="s">
        <v>11</v>
      </c>
    </row>
    <row r="15" spans="1:6" ht="45" customHeight="1">
      <c r="A15" s="8" t="s">
        <v>36</v>
      </c>
      <c r="B15" s="11" t="s">
        <v>48</v>
      </c>
      <c r="C15" s="8" t="s">
        <v>52</v>
      </c>
      <c r="D15" s="9" t="s">
        <v>53</v>
      </c>
      <c r="E15" s="11" t="s">
        <v>11</v>
      </c>
    </row>
    <row r="16" spans="1:6" ht="45" customHeight="1">
      <c r="A16" s="8" t="s">
        <v>54</v>
      </c>
      <c r="B16" s="11" t="s">
        <v>57</v>
      </c>
      <c r="C16" s="8" t="s">
        <v>55</v>
      </c>
      <c r="D16" s="9" t="s">
        <v>56</v>
      </c>
      <c r="E16" s="11" t="s">
        <v>42</v>
      </c>
    </row>
    <row r="17" spans="1:5" ht="45" customHeight="1">
      <c r="A17" s="8" t="s">
        <v>54</v>
      </c>
      <c r="B17" s="11" t="s">
        <v>60</v>
      </c>
      <c r="C17" s="8" t="s">
        <v>58</v>
      </c>
      <c r="D17" s="9" t="s">
        <v>59</v>
      </c>
      <c r="E17" s="11" t="s">
        <v>61</v>
      </c>
    </row>
    <row r="18" spans="1:5" ht="45" customHeight="1">
      <c r="A18" s="8" t="s">
        <v>54</v>
      </c>
      <c r="B18" s="11" t="s">
        <v>64</v>
      </c>
      <c r="C18" s="8" t="s">
        <v>62</v>
      </c>
      <c r="D18" s="9" t="s">
        <v>63</v>
      </c>
      <c r="E18" s="11" t="s">
        <v>42</v>
      </c>
    </row>
    <row r="19" spans="1:5" ht="45" customHeight="1">
      <c r="A19" s="8" t="s">
        <v>54</v>
      </c>
      <c r="B19" s="11" t="s">
        <v>21</v>
      </c>
      <c r="C19" s="8" t="s">
        <v>65</v>
      </c>
      <c r="D19" s="9" t="s">
        <v>66</v>
      </c>
      <c r="E19" s="11" t="s">
        <v>11</v>
      </c>
    </row>
    <row r="20" spans="1:5" ht="45" customHeight="1">
      <c r="A20" s="8" t="s">
        <v>67</v>
      </c>
      <c r="B20" s="11" t="s">
        <v>70</v>
      </c>
      <c r="C20" s="8" t="s">
        <v>68</v>
      </c>
      <c r="D20" s="9" t="s">
        <v>69</v>
      </c>
      <c r="E20" s="11" t="s">
        <v>11</v>
      </c>
    </row>
    <row r="21" spans="1:5" ht="45" customHeight="1">
      <c r="A21" s="8" t="s">
        <v>67</v>
      </c>
      <c r="B21" s="11" t="s">
        <v>73</v>
      </c>
      <c r="C21" s="8" t="s">
        <v>71</v>
      </c>
      <c r="D21" s="9" t="s">
        <v>72</v>
      </c>
      <c r="E21" s="11" t="s">
        <v>11</v>
      </c>
    </row>
    <row r="22" spans="1:5" ht="30" customHeight="1">
      <c r="A22" s="8" t="s">
        <v>74</v>
      </c>
      <c r="B22" s="11" t="s">
        <v>77</v>
      </c>
      <c r="C22" s="8" t="s">
        <v>75</v>
      </c>
      <c r="D22" s="9" t="s">
        <v>76</v>
      </c>
      <c r="E22" s="11" t="s">
        <v>11</v>
      </c>
    </row>
    <row r="23" spans="1:5" ht="30" customHeight="1">
      <c r="A23" s="8" t="s">
        <v>74</v>
      </c>
      <c r="B23" s="11" t="s">
        <v>48</v>
      </c>
      <c r="C23" s="8" t="s">
        <v>78</v>
      </c>
      <c r="D23" s="9" t="s">
        <v>79</v>
      </c>
      <c r="E23" s="11" t="s">
        <v>11</v>
      </c>
    </row>
    <row r="24" spans="1:5" ht="30" customHeight="1">
      <c r="A24" s="8" t="s">
        <v>74</v>
      </c>
      <c r="B24" s="11" t="s">
        <v>51</v>
      </c>
      <c r="C24" s="8" t="s">
        <v>80</v>
      </c>
      <c r="D24" s="9" t="s">
        <v>81</v>
      </c>
      <c r="E24" s="11" t="s">
        <v>11</v>
      </c>
    </row>
    <row r="25" spans="1:5" ht="30" customHeight="1">
      <c r="A25" s="8" t="s">
        <v>74</v>
      </c>
      <c r="B25" s="11" t="s">
        <v>48</v>
      </c>
      <c r="C25" s="8" t="s">
        <v>82</v>
      </c>
      <c r="D25" s="9" t="s">
        <v>83</v>
      </c>
      <c r="E25" s="11" t="s">
        <v>11</v>
      </c>
    </row>
    <row r="26" spans="1:5" ht="45" customHeight="1">
      <c r="A26" s="8" t="s">
        <v>84</v>
      </c>
      <c r="B26" s="11" t="s">
        <v>87</v>
      </c>
      <c r="C26" s="8" t="s">
        <v>85</v>
      </c>
      <c r="D26" s="9" t="s">
        <v>86</v>
      </c>
      <c r="E26" s="11" t="s">
        <v>42</v>
      </c>
    </row>
    <row r="27" spans="1:5" ht="45" customHeight="1">
      <c r="A27" s="8" t="s">
        <v>84</v>
      </c>
      <c r="B27" s="11" t="s">
        <v>51</v>
      </c>
      <c r="C27" s="8" t="s">
        <v>88</v>
      </c>
      <c r="D27" s="9" t="s">
        <v>89</v>
      </c>
      <c r="E27" s="11" t="s">
        <v>42</v>
      </c>
    </row>
    <row r="28" spans="1:5" ht="45" customHeight="1">
      <c r="A28" s="8" t="s">
        <v>84</v>
      </c>
      <c r="B28" s="11" t="s">
        <v>92</v>
      </c>
      <c r="C28" s="8" t="s">
        <v>90</v>
      </c>
      <c r="D28" s="9" t="s">
        <v>91</v>
      </c>
      <c r="E28" s="11" t="s">
        <v>42</v>
      </c>
    </row>
    <row r="29" spans="1:5" ht="45" customHeight="1">
      <c r="A29" s="8" t="s">
        <v>84</v>
      </c>
      <c r="B29" s="11" t="s">
        <v>95</v>
      </c>
      <c r="C29" s="8" t="s">
        <v>93</v>
      </c>
      <c r="D29" s="9" t="s">
        <v>94</v>
      </c>
      <c r="E29" s="11" t="s">
        <v>25</v>
      </c>
    </row>
    <row r="30" spans="1:5" ht="30" customHeight="1">
      <c r="A30" s="8" t="s">
        <v>96</v>
      </c>
      <c r="B30" s="11" t="s">
        <v>99</v>
      </c>
      <c r="C30" s="8" t="s">
        <v>97</v>
      </c>
      <c r="D30" s="9" t="s">
        <v>98</v>
      </c>
      <c r="E30" s="11" t="s">
        <v>100</v>
      </c>
    </row>
    <row r="31" spans="1:5" ht="45" customHeight="1">
      <c r="A31" s="8" t="s">
        <v>96</v>
      </c>
      <c r="B31" s="11" t="s">
        <v>103</v>
      </c>
      <c r="C31" s="8" t="s">
        <v>101</v>
      </c>
      <c r="D31" s="9" t="s">
        <v>102</v>
      </c>
      <c r="E31" s="11" t="s">
        <v>104</v>
      </c>
    </row>
    <row r="32" spans="1:5" ht="45" customHeight="1">
      <c r="A32" s="8" t="s">
        <v>96</v>
      </c>
      <c r="B32" s="11" t="s">
        <v>107</v>
      </c>
      <c r="C32" s="8" t="s">
        <v>105</v>
      </c>
      <c r="D32" s="9" t="s">
        <v>106</v>
      </c>
      <c r="E32" s="11" t="s">
        <v>104</v>
      </c>
    </row>
    <row r="33" spans="1:5" ht="45" customHeight="1">
      <c r="A33" s="8" t="s">
        <v>96</v>
      </c>
      <c r="B33" s="11" t="s">
        <v>110</v>
      </c>
      <c r="C33" s="8" t="s">
        <v>108</v>
      </c>
      <c r="D33" s="9" t="s">
        <v>109</v>
      </c>
      <c r="E33" s="11" t="s">
        <v>104</v>
      </c>
    </row>
    <row r="34" spans="1:5" ht="45" customHeight="1">
      <c r="A34" s="8" t="s">
        <v>96</v>
      </c>
      <c r="B34" s="11" t="s">
        <v>113</v>
      </c>
      <c r="C34" s="8" t="s">
        <v>111</v>
      </c>
      <c r="D34" s="9" t="s">
        <v>112</v>
      </c>
      <c r="E34" s="11" t="s">
        <v>42</v>
      </c>
    </row>
    <row r="35" spans="1:5" ht="60" customHeight="1">
      <c r="A35" s="8" t="s">
        <v>96</v>
      </c>
      <c r="B35" s="11" t="s">
        <v>116</v>
      </c>
      <c r="C35" s="8" t="s">
        <v>114</v>
      </c>
      <c r="D35" s="9" t="s">
        <v>115</v>
      </c>
      <c r="E35" s="11" t="s">
        <v>104</v>
      </c>
    </row>
    <row r="36" spans="1:5" ht="45" customHeight="1">
      <c r="A36" s="8" t="s">
        <v>96</v>
      </c>
      <c r="B36" s="11" t="s">
        <v>77</v>
      </c>
      <c r="C36" s="8" t="s">
        <v>117</v>
      </c>
      <c r="D36" s="9" t="s">
        <v>118</v>
      </c>
      <c r="E36" s="11" t="s">
        <v>104</v>
      </c>
    </row>
    <row r="37" spans="1:5" ht="45" customHeight="1">
      <c r="A37" s="8" t="s">
        <v>96</v>
      </c>
      <c r="B37" s="11" t="s">
        <v>121</v>
      </c>
      <c r="C37" s="8" t="s">
        <v>119</v>
      </c>
      <c r="D37" s="9" t="s">
        <v>120</v>
      </c>
      <c r="E37" s="11" t="s">
        <v>122</v>
      </c>
    </row>
    <row r="38" spans="1:5" ht="45" customHeight="1">
      <c r="A38" s="8" t="s">
        <v>96</v>
      </c>
      <c r="B38" s="11" t="s">
        <v>125</v>
      </c>
      <c r="C38" s="8" t="s">
        <v>123</v>
      </c>
      <c r="D38" s="9" t="s">
        <v>124</v>
      </c>
      <c r="E38" s="11" t="s">
        <v>25</v>
      </c>
    </row>
    <row r="39" spans="1:5" ht="60" customHeight="1">
      <c r="A39" s="8" t="s">
        <v>96</v>
      </c>
      <c r="B39" s="11" t="s">
        <v>103</v>
      </c>
      <c r="C39" s="8" t="s">
        <v>126</v>
      </c>
      <c r="D39" s="9" t="s">
        <v>127</v>
      </c>
      <c r="E39" s="11" t="s">
        <v>104</v>
      </c>
    </row>
    <row r="40" spans="1:5" ht="60" customHeight="1">
      <c r="A40" s="8" t="s">
        <v>96</v>
      </c>
      <c r="B40" s="11" t="s">
        <v>130</v>
      </c>
      <c r="C40" s="8" t="s">
        <v>128</v>
      </c>
      <c r="D40" s="9" t="s">
        <v>129</v>
      </c>
      <c r="E40" s="11" t="s">
        <v>104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76"/>
  <sheetViews>
    <sheetView workbookViewId="0">
      <selection activeCell="M137" sqref="M137"/>
    </sheetView>
  </sheetViews>
  <sheetFormatPr baseColWidth="10" defaultColWidth="9" defaultRowHeight="14"/>
  <cols>
    <col min="10" max="10" width="63.59765625" bestFit="1" customWidth="1"/>
  </cols>
  <sheetData>
    <row r="1" spans="1:28">
      <c r="A1" t="s">
        <v>1102</v>
      </c>
      <c r="B1" t="s">
        <v>1103</v>
      </c>
      <c r="C1" t="s">
        <v>135</v>
      </c>
      <c r="D1" t="s">
        <v>1104</v>
      </c>
      <c r="E1" t="s">
        <v>1105</v>
      </c>
      <c r="F1" t="s">
        <v>1106</v>
      </c>
      <c r="G1" t="s">
        <v>1107</v>
      </c>
      <c r="H1" t="s">
        <v>1108</v>
      </c>
      <c r="I1" t="s">
        <v>1109</v>
      </c>
      <c r="J1" t="s">
        <v>1110</v>
      </c>
      <c r="K1" t="s">
        <v>1111</v>
      </c>
      <c r="L1" t="s">
        <v>1112</v>
      </c>
      <c r="M1" t="s">
        <v>1113</v>
      </c>
      <c r="N1" t="s">
        <v>1114</v>
      </c>
      <c r="O1" t="s">
        <v>1115</v>
      </c>
      <c r="P1" t="s">
        <v>1116</v>
      </c>
      <c r="Q1" t="s">
        <v>1117</v>
      </c>
      <c r="R1" t="s">
        <v>1118</v>
      </c>
      <c r="S1" t="s">
        <v>1119</v>
      </c>
      <c r="T1" t="s">
        <v>1120</v>
      </c>
      <c r="U1" t="s">
        <v>1121</v>
      </c>
      <c r="V1" t="s">
        <v>1122</v>
      </c>
      <c r="W1" t="s">
        <v>1123</v>
      </c>
      <c r="X1" t="s">
        <v>1124</v>
      </c>
      <c r="Y1" t="s">
        <v>1125</v>
      </c>
      <c r="Z1" t="s">
        <v>1126</v>
      </c>
      <c r="AA1" t="s">
        <v>1127</v>
      </c>
      <c r="AB1" t="s">
        <v>1128</v>
      </c>
    </row>
    <row r="2" spans="1:28">
      <c r="A2" t="s">
        <v>428</v>
      </c>
      <c r="B2" t="s">
        <v>1129</v>
      </c>
      <c r="C2" t="s">
        <v>429</v>
      </c>
      <c r="D2" t="s">
        <v>1130</v>
      </c>
      <c r="E2" t="s">
        <v>265</v>
      </c>
      <c r="F2">
        <v>0</v>
      </c>
      <c r="H2" t="s">
        <v>1131</v>
      </c>
      <c r="I2" t="s">
        <v>1132</v>
      </c>
      <c r="J2" t="s">
        <v>1133</v>
      </c>
      <c r="K2" t="s">
        <v>1134</v>
      </c>
    </row>
    <row r="3" spans="1:28">
      <c r="A3" t="s">
        <v>253</v>
      </c>
      <c r="B3" t="s">
        <v>1135</v>
      </c>
      <c r="C3" t="s">
        <v>255</v>
      </c>
      <c r="D3" t="s">
        <v>1130</v>
      </c>
      <c r="E3" t="s">
        <v>254</v>
      </c>
      <c r="F3">
        <v>1.5</v>
      </c>
      <c r="H3" t="s">
        <v>1131</v>
      </c>
      <c r="I3" t="s">
        <v>1132</v>
      </c>
      <c r="J3" t="s">
        <v>1133</v>
      </c>
      <c r="K3" t="s">
        <v>1134</v>
      </c>
    </row>
    <row r="4" spans="1:28">
      <c r="A4" t="s">
        <v>228</v>
      </c>
      <c r="B4" t="s">
        <v>1136</v>
      </c>
      <c r="C4" t="s">
        <v>230</v>
      </c>
      <c r="D4" t="s">
        <v>1130</v>
      </c>
      <c r="E4" t="s">
        <v>229</v>
      </c>
      <c r="F4">
        <v>0</v>
      </c>
      <c r="H4" t="s">
        <v>1131</v>
      </c>
      <c r="I4" t="s">
        <v>1132</v>
      </c>
      <c r="J4" t="s">
        <v>1133</v>
      </c>
      <c r="K4" t="s">
        <v>1134</v>
      </c>
    </row>
    <row r="5" spans="1:28">
      <c r="A5" t="s">
        <v>1137</v>
      </c>
      <c r="B5" t="s">
        <v>1138</v>
      </c>
      <c r="C5" t="s">
        <v>1139</v>
      </c>
      <c r="D5" t="s">
        <v>1130</v>
      </c>
      <c r="E5" t="s">
        <v>1140</v>
      </c>
      <c r="F5">
        <v>0</v>
      </c>
      <c r="H5" t="s">
        <v>1131</v>
      </c>
      <c r="I5" t="s">
        <v>1132</v>
      </c>
      <c r="J5" t="s">
        <v>1133</v>
      </c>
      <c r="K5" t="s">
        <v>1134</v>
      </c>
    </row>
    <row r="6" spans="1:28">
      <c r="A6" t="s">
        <v>545</v>
      </c>
      <c r="B6" t="s">
        <v>1141</v>
      </c>
      <c r="C6" t="s">
        <v>1142</v>
      </c>
      <c r="D6" t="s">
        <v>1130</v>
      </c>
      <c r="E6" t="s">
        <v>1143</v>
      </c>
      <c r="F6">
        <v>0</v>
      </c>
      <c r="H6" t="s">
        <v>1131</v>
      </c>
      <c r="I6" t="s">
        <v>1132</v>
      </c>
      <c r="J6" t="s">
        <v>1133</v>
      </c>
      <c r="K6" t="s">
        <v>1134</v>
      </c>
    </row>
    <row r="7" spans="1:28">
      <c r="A7" t="s">
        <v>517</v>
      </c>
      <c r="B7" t="s">
        <v>1144</v>
      </c>
      <c r="C7" t="s">
        <v>518</v>
      </c>
      <c r="D7" t="s">
        <v>1130</v>
      </c>
      <c r="E7" t="s">
        <v>175</v>
      </c>
      <c r="F7">
        <v>0</v>
      </c>
      <c r="H7" t="s">
        <v>1131</v>
      </c>
      <c r="I7" t="s">
        <v>1132</v>
      </c>
      <c r="J7" t="s">
        <v>1133</v>
      </c>
      <c r="K7" t="s">
        <v>1134</v>
      </c>
    </row>
    <row r="8" spans="1:28">
      <c r="A8" t="s">
        <v>352</v>
      </c>
      <c r="B8" t="s">
        <v>1145</v>
      </c>
      <c r="C8" t="s">
        <v>354</v>
      </c>
      <c r="D8" t="s">
        <v>1130</v>
      </c>
      <c r="E8" t="s">
        <v>353</v>
      </c>
      <c r="F8">
        <v>0</v>
      </c>
      <c r="H8" t="s">
        <v>1131</v>
      </c>
      <c r="I8" t="s">
        <v>1132</v>
      </c>
      <c r="J8" t="s">
        <v>1133</v>
      </c>
      <c r="K8" t="s">
        <v>1134</v>
      </c>
    </row>
    <row r="9" spans="1:28">
      <c r="A9" t="s">
        <v>586</v>
      </c>
      <c r="B9" t="s">
        <v>1146</v>
      </c>
      <c r="C9" t="s">
        <v>587</v>
      </c>
      <c r="D9" t="s">
        <v>1130</v>
      </c>
      <c r="E9" t="s">
        <v>356</v>
      </c>
      <c r="F9">
        <v>0</v>
      </c>
      <c r="H9" t="s">
        <v>1131</v>
      </c>
      <c r="I9" t="s">
        <v>1132</v>
      </c>
      <c r="J9" t="s">
        <v>1133</v>
      </c>
      <c r="K9" t="s">
        <v>1134</v>
      </c>
    </row>
    <row r="10" spans="1:28">
      <c r="A10" t="s">
        <v>588</v>
      </c>
      <c r="B10" t="s">
        <v>1147</v>
      </c>
      <c r="C10" t="s">
        <v>590</v>
      </c>
      <c r="D10" t="s">
        <v>1130</v>
      </c>
      <c r="E10" t="s">
        <v>589</v>
      </c>
      <c r="F10">
        <v>1.5</v>
      </c>
      <c r="H10" t="s">
        <v>1131</v>
      </c>
      <c r="I10" t="s">
        <v>1132</v>
      </c>
      <c r="J10" t="s">
        <v>1133</v>
      </c>
      <c r="K10" t="s">
        <v>1134</v>
      </c>
    </row>
    <row r="11" spans="1:28">
      <c r="A11" t="s">
        <v>439</v>
      </c>
      <c r="B11" t="s">
        <v>1148</v>
      </c>
      <c r="C11" t="s">
        <v>441</v>
      </c>
      <c r="D11" t="s">
        <v>1130</v>
      </c>
      <c r="E11" t="s">
        <v>440</v>
      </c>
      <c r="F11">
        <v>1.5</v>
      </c>
      <c r="H11" t="s">
        <v>1131</v>
      </c>
      <c r="I11" t="s">
        <v>1132</v>
      </c>
      <c r="J11" t="s">
        <v>1133</v>
      </c>
      <c r="K11" t="s">
        <v>1134</v>
      </c>
    </row>
    <row r="12" spans="1:28">
      <c r="A12" t="s">
        <v>211</v>
      </c>
      <c r="B12" t="s">
        <v>518</v>
      </c>
      <c r="C12" t="s">
        <v>212</v>
      </c>
      <c r="D12" t="s">
        <v>1149</v>
      </c>
      <c r="F12">
        <v>0</v>
      </c>
      <c r="H12" t="s">
        <v>1131</v>
      </c>
      <c r="I12" t="s">
        <v>1132</v>
      </c>
      <c r="J12" t="s">
        <v>1133</v>
      </c>
      <c r="K12" t="s">
        <v>1134</v>
      </c>
    </row>
    <row r="13" spans="1:28">
      <c r="A13" t="s">
        <v>858</v>
      </c>
      <c r="B13" t="s">
        <v>1150</v>
      </c>
      <c r="C13" t="s">
        <v>860</v>
      </c>
      <c r="D13" t="s">
        <v>1130</v>
      </c>
      <c r="E13" t="s">
        <v>859</v>
      </c>
      <c r="F13">
        <v>0</v>
      </c>
      <c r="G13">
        <v>0.5</v>
      </c>
      <c r="H13" t="s">
        <v>1131</v>
      </c>
      <c r="I13" t="s">
        <v>1132</v>
      </c>
      <c r="J13" t="s">
        <v>1133</v>
      </c>
      <c r="K13" t="s">
        <v>1134</v>
      </c>
      <c r="L13" t="s">
        <v>860</v>
      </c>
    </row>
    <row r="14" spans="1:28">
      <c r="A14" t="s">
        <v>463</v>
      </c>
      <c r="B14" t="s">
        <v>1151</v>
      </c>
      <c r="C14" t="s">
        <v>464</v>
      </c>
      <c r="D14" t="s">
        <v>1130</v>
      </c>
      <c r="E14" t="s">
        <v>181</v>
      </c>
      <c r="F14">
        <v>0</v>
      </c>
      <c r="H14" t="s">
        <v>1131</v>
      </c>
      <c r="I14" t="s">
        <v>1132</v>
      </c>
      <c r="J14" t="s">
        <v>1133</v>
      </c>
      <c r="K14" t="s">
        <v>1134</v>
      </c>
      <c r="L14" t="s">
        <v>464</v>
      </c>
    </row>
    <row r="15" spans="1:28">
      <c r="A15" t="s">
        <v>403</v>
      </c>
      <c r="B15" t="s">
        <v>1152</v>
      </c>
      <c r="C15" t="s">
        <v>404</v>
      </c>
      <c r="D15" t="s">
        <v>1130</v>
      </c>
      <c r="E15" t="s">
        <v>400</v>
      </c>
      <c r="F15">
        <v>0</v>
      </c>
      <c r="H15" t="s">
        <v>1131</v>
      </c>
      <c r="I15" t="s">
        <v>1132</v>
      </c>
      <c r="J15" t="s">
        <v>1133</v>
      </c>
      <c r="K15" t="s">
        <v>1134</v>
      </c>
      <c r="L15" t="s">
        <v>404</v>
      </c>
    </row>
    <row r="16" spans="1:28">
      <c r="A16" t="s">
        <v>519</v>
      </c>
      <c r="B16" t="s">
        <v>1153</v>
      </c>
      <c r="C16" t="s">
        <v>520</v>
      </c>
      <c r="D16" t="s">
        <v>1130</v>
      </c>
      <c r="E16" t="s">
        <v>262</v>
      </c>
      <c r="F16">
        <v>0</v>
      </c>
      <c r="H16" t="s">
        <v>1131</v>
      </c>
      <c r="I16" t="s">
        <v>1132</v>
      </c>
      <c r="J16" t="s">
        <v>1133</v>
      </c>
      <c r="K16" t="s">
        <v>1134</v>
      </c>
      <c r="L16" t="s">
        <v>520</v>
      </c>
    </row>
    <row r="17" spans="1:26">
      <c r="A17" t="s">
        <v>661</v>
      </c>
      <c r="B17" t="s">
        <v>1154</v>
      </c>
      <c r="C17" t="s">
        <v>662</v>
      </c>
      <c r="D17" t="s">
        <v>1130</v>
      </c>
      <c r="E17" t="s">
        <v>554</v>
      </c>
      <c r="F17">
        <v>0</v>
      </c>
      <c r="H17" t="s">
        <v>1131</v>
      </c>
      <c r="I17" t="s">
        <v>1132</v>
      </c>
      <c r="J17" t="s">
        <v>1133</v>
      </c>
      <c r="K17" t="s">
        <v>1134</v>
      </c>
      <c r="L17" t="s">
        <v>662</v>
      </c>
    </row>
    <row r="18" spans="1:26">
      <c r="A18" t="s">
        <v>769</v>
      </c>
      <c r="B18" t="s">
        <v>1155</v>
      </c>
      <c r="C18" t="s">
        <v>770</v>
      </c>
      <c r="D18" t="s">
        <v>1149</v>
      </c>
      <c r="F18">
        <v>0</v>
      </c>
      <c r="H18" t="s">
        <v>1131</v>
      </c>
      <c r="I18" t="s">
        <v>1132</v>
      </c>
      <c r="J18" t="s">
        <v>1133</v>
      </c>
      <c r="K18" t="s">
        <v>1134</v>
      </c>
    </row>
    <row r="19" spans="1:26">
      <c r="A19" t="s">
        <v>460</v>
      </c>
      <c r="B19" t="s">
        <v>255</v>
      </c>
      <c r="C19" t="s">
        <v>462</v>
      </c>
      <c r="D19" t="s">
        <v>1149</v>
      </c>
      <c r="E19" t="s">
        <v>461</v>
      </c>
      <c r="F19" t="s">
        <v>1156</v>
      </c>
      <c r="H19" t="s">
        <v>1157</v>
      </c>
      <c r="I19" t="s">
        <v>1158</v>
      </c>
      <c r="J19" t="s">
        <v>1159</v>
      </c>
      <c r="K19" t="s">
        <v>1160</v>
      </c>
      <c r="M19" t="s">
        <v>1161</v>
      </c>
      <c r="N19" t="s">
        <v>1162</v>
      </c>
      <c r="O19" t="s">
        <v>1163</v>
      </c>
      <c r="P19" t="s">
        <v>1164</v>
      </c>
      <c r="R19" t="s">
        <v>1165</v>
      </c>
      <c r="S19" t="s">
        <v>1159</v>
      </c>
      <c r="T19" t="s">
        <v>1166</v>
      </c>
    </row>
    <row r="20" spans="1:26">
      <c r="A20" t="s">
        <v>501</v>
      </c>
      <c r="B20" t="s">
        <v>258</v>
      </c>
      <c r="C20" t="s">
        <v>502</v>
      </c>
      <c r="D20" t="s">
        <v>1149</v>
      </c>
      <c r="E20" t="s">
        <v>461</v>
      </c>
      <c r="F20" t="s">
        <v>1156</v>
      </c>
      <c r="H20" t="s">
        <v>1157</v>
      </c>
      <c r="I20" t="s">
        <v>1158</v>
      </c>
      <c r="J20" t="s">
        <v>1159</v>
      </c>
      <c r="K20" t="s">
        <v>1160</v>
      </c>
      <c r="M20" t="s">
        <v>1161</v>
      </c>
      <c r="N20" t="s">
        <v>1162</v>
      </c>
      <c r="O20" t="s">
        <v>1163</v>
      </c>
      <c r="P20" t="s">
        <v>1167</v>
      </c>
      <c r="R20" t="s">
        <v>1165</v>
      </c>
      <c r="S20" t="s">
        <v>1159</v>
      </c>
      <c r="T20" t="s">
        <v>1166</v>
      </c>
    </row>
    <row r="21" spans="1:26">
      <c r="A21" t="s">
        <v>349</v>
      </c>
      <c r="B21" t="s">
        <v>260</v>
      </c>
      <c r="C21" t="s">
        <v>351</v>
      </c>
      <c r="D21" t="s">
        <v>1149</v>
      </c>
      <c r="E21" t="s">
        <v>350</v>
      </c>
      <c r="F21" t="s">
        <v>1168</v>
      </c>
      <c r="H21" t="s">
        <v>1157</v>
      </c>
      <c r="I21" t="s">
        <v>1158</v>
      </c>
      <c r="J21" t="s">
        <v>1159</v>
      </c>
      <c r="K21" t="s">
        <v>1160</v>
      </c>
      <c r="M21" t="s">
        <v>1169</v>
      </c>
      <c r="N21" t="s">
        <v>1170</v>
      </c>
      <c r="O21" t="s">
        <v>1171</v>
      </c>
      <c r="P21" t="s">
        <v>349</v>
      </c>
      <c r="Q21" t="s">
        <v>1172</v>
      </c>
      <c r="R21" t="s">
        <v>1165</v>
      </c>
      <c r="S21" t="s">
        <v>1159</v>
      </c>
      <c r="T21" t="s">
        <v>1166</v>
      </c>
    </row>
    <row r="22" spans="1:26">
      <c r="A22" t="s">
        <v>397</v>
      </c>
      <c r="B22" t="s">
        <v>263</v>
      </c>
      <c r="C22" t="s">
        <v>402</v>
      </c>
      <c r="D22" t="s">
        <v>1149</v>
      </c>
      <c r="E22" t="s">
        <v>273</v>
      </c>
      <c r="F22" t="s">
        <v>1168</v>
      </c>
      <c r="H22" t="s">
        <v>1157</v>
      </c>
      <c r="I22" t="s">
        <v>1158</v>
      </c>
      <c r="J22" t="s">
        <v>1159</v>
      </c>
      <c r="K22" t="s">
        <v>1160</v>
      </c>
      <c r="M22" t="s">
        <v>1169</v>
      </c>
      <c r="N22" t="s">
        <v>1173</v>
      </c>
      <c r="O22" t="s">
        <v>1174</v>
      </c>
      <c r="P22" t="s">
        <v>1175</v>
      </c>
      <c r="Q22" t="s">
        <v>1176</v>
      </c>
      <c r="R22" t="s">
        <v>1165</v>
      </c>
      <c r="S22" t="s">
        <v>1159</v>
      </c>
      <c r="T22" t="s">
        <v>1166</v>
      </c>
      <c r="U22" t="s">
        <v>398</v>
      </c>
      <c r="V22" t="s">
        <v>1177</v>
      </c>
      <c r="W22" t="s">
        <v>1178</v>
      </c>
    </row>
    <row r="23" spans="1:26">
      <c r="A23" t="s">
        <v>658</v>
      </c>
      <c r="B23" t="s">
        <v>266</v>
      </c>
      <c r="C23" t="s">
        <v>660</v>
      </c>
      <c r="D23" t="s">
        <v>1149</v>
      </c>
      <c r="E23" t="s">
        <v>659</v>
      </c>
      <c r="F23" t="s">
        <v>1168</v>
      </c>
      <c r="H23" t="s">
        <v>1157</v>
      </c>
      <c r="I23" t="s">
        <v>1158</v>
      </c>
      <c r="J23" t="s">
        <v>1159</v>
      </c>
      <c r="K23" t="s">
        <v>1160</v>
      </c>
      <c r="M23" t="s">
        <v>1169</v>
      </c>
      <c r="N23" t="s">
        <v>1179</v>
      </c>
      <c r="O23" t="s">
        <v>1174</v>
      </c>
      <c r="P23" t="s">
        <v>1180</v>
      </c>
      <c r="R23" t="s">
        <v>1165</v>
      </c>
      <c r="S23" t="s">
        <v>1159</v>
      </c>
      <c r="T23" t="s">
        <v>1166</v>
      </c>
    </row>
    <row r="24" spans="1:26">
      <c r="A24" t="s">
        <v>1181</v>
      </c>
      <c r="B24" t="s">
        <v>268</v>
      </c>
      <c r="C24" t="s">
        <v>1025</v>
      </c>
      <c r="D24" t="s">
        <v>1149</v>
      </c>
      <c r="E24" t="s">
        <v>1024</v>
      </c>
      <c r="F24" t="s">
        <v>1168</v>
      </c>
      <c r="H24" t="s">
        <v>1157</v>
      </c>
      <c r="I24" t="s">
        <v>1158</v>
      </c>
      <c r="J24" t="s">
        <v>1159</v>
      </c>
      <c r="K24" t="s">
        <v>1160</v>
      </c>
      <c r="M24" t="s">
        <v>1182</v>
      </c>
      <c r="N24" t="s">
        <v>1183</v>
      </c>
      <c r="O24" t="s">
        <v>1174</v>
      </c>
      <c r="P24" t="s">
        <v>1184</v>
      </c>
      <c r="Q24" t="s">
        <v>1185</v>
      </c>
      <c r="R24" t="s">
        <v>1165</v>
      </c>
      <c r="S24" t="s">
        <v>1159</v>
      </c>
      <c r="T24" t="s">
        <v>1166</v>
      </c>
    </row>
    <row r="25" spans="1:26">
      <c r="A25" t="s">
        <v>105</v>
      </c>
      <c r="B25" t="s">
        <v>294</v>
      </c>
      <c r="C25" t="s">
        <v>768</v>
      </c>
      <c r="D25" t="s">
        <v>1149</v>
      </c>
      <c r="E25" t="s">
        <v>767</v>
      </c>
      <c r="F25" t="s">
        <v>1168</v>
      </c>
      <c r="H25" t="s">
        <v>1157</v>
      </c>
      <c r="I25" t="s">
        <v>1158</v>
      </c>
      <c r="J25" t="s">
        <v>1159</v>
      </c>
      <c r="K25" t="s">
        <v>1160</v>
      </c>
      <c r="M25" t="s">
        <v>1186</v>
      </c>
      <c r="N25" t="s">
        <v>1187</v>
      </c>
      <c r="O25" t="s">
        <v>1174</v>
      </c>
      <c r="P25" t="s">
        <v>1188</v>
      </c>
      <c r="Q25" t="s">
        <v>1189</v>
      </c>
      <c r="R25" t="s">
        <v>1165</v>
      </c>
      <c r="S25" t="s">
        <v>1159</v>
      </c>
      <c r="T25" t="s">
        <v>1166</v>
      </c>
    </row>
    <row r="26" spans="1:26">
      <c r="A26" t="s">
        <v>1190</v>
      </c>
      <c r="B26" t="s">
        <v>274</v>
      </c>
      <c r="C26" t="s">
        <v>1191</v>
      </c>
      <c r="E26" t="s">
        <v>1192</v>
      </c>
      <c r="F26" t="s">
        <v>1168</v>
      </c>
      <c r="H26" t="s">
        <v>1157</v>
      </c>
      <c r="I26" t="s">
        <v>1193</v>
      </c>
      <c r="J26" t="s">
        <v>1159</v>
      </c>
      <c r="K26" t="s">
        <v>1160</v>
      </c>
      <c r="N26" t="s">
        <v>1194</v>
      </c>
      <c r="O26" t="s">
        <v>1195</v>
      </c>
      <c r="Q26" t="s">
        <v>1196</v>
      </c>
      <c r="R26" t="s">
        <v>1165</v>
      </c>
      <c r="S26" t="s">
        <v>1159</v>
      </c>
      <c r="T26" t="s">
        <v>1166</v>
      </c>
      <c r="X26" t="s">
        <v>1197</v>
      </c>
      <c r="Y26" t="s">
        <v>1198</v>
      </c>
      <c r="Z26" t="s">
        <v>1199</v>
      </c>
    </row>
    <row r="27" spans="1:26">
      <c r="A27" t="s">
        <v>1200</v>
      </c>
      <c r="B27" t="s">
        <v>277</v>
      </c>
      <c r="C27" t="s">
        <v>1201</v>
      </c>
      <c r="E27" t="s">
        <v>1202</v>
      </c>
      <c r="F27" t="s">
        <v>1156</v>
      </c>
      <c r="H27" t="s">
        <v>1157</v>
      </c>
      <c r="I27" t="s">
        <v>1193</v>
      </c>
      <c r="J27" t="s">
        <v>1159</v>
      </c>
      <c r="K27" t="s">
        <v>1160</v>
      </c>
      <c r="N27" t="s">
        <v>1203</v>
      </c>
      <c r="O27" t="s">
        <v>1204</v>
      </c>
      <c r="Q27" t="s">
        <v>1205</v>
      </c>
      <c r="R27" t="s">
        <v>1165</v>
      </c>
      <c r="S27" t="s">
        <v>1159</v>
      </c>
      <c r="T27" t="s">
        <v>1166</v>
      </c>
      <c r="X27" t="s">
        <v>1206</v>
      </c>
      <c r="Y27" t="s">
        <v>274</v>
      </c>
      <c r="Z27" t="s">
        <v>1190</v>
      </c>
    </row>
    <row r="28" spans="1:26">
      <c r="A28" t="s">
        <v>861</v>
      </c>
      <c r="B28" t="s">
        <v>1207</v>
      </c>
      <c r="C28" t="s">
        <v>1208</v>
      </c>
      <c r="D28" t="s">
        <v>1130</v>
      </c>
      <c r="E28" t="s">
        <v>859</v>
      </c>
      <c r="F28">
        <v>0</v>
      </c>
      <c r="G28">
        <v>0.5</v>
      </c>
      <c r="H28" t="s">
        <v>1131</v>
      </c>
      <c r="I28" t="s">
        <v>1132</v>
      </c>
      <c r="J28" t="s">
        <v>1209</v>
      </c>
      <c r="K28" t="s">
        <v>1160</v>
      </c>
      <c r="T28" t="s">
        <v>1210</v>
      </c>
    </row>
    <row r="29" spans="1:26">
      <c r="A29" t="s">
        <v>865</v>
      </c>
      <c r="B29" t="s">
        <v>1211</v>
      </c>
      <c r="C29" t="s">
        <v>866</v>
      </c>
      <c r="D29" t="s">
        <v>1149</v>
      </c>
      <c r="H29" t="s">
        <v>1131</v>
      </c>
      <c r="I29" t="s">
        <v>1132</v>
      </c>
      <c r="J29" t="s">
        <v>1209</v>
      </c>
      <c r="K29" t="s">
        <v>1160</v>
      </c>
      <c r="T29" t="s">
        <v>1210</v>
      </c>
    </row>
    <row r="30" spans="1:26">
      <c r="A30" t="s">
        <v>867</v>
      </c>
      <c r="B30" t="s">
        <v>1212</v>
      </c>
      <c r="C30" t="s">
        <v>868</v>
      </c>
      <c r="D30" t="s">
        <v>1149</v>
      </c>
      <c r="H30" t="s">
        <v>1131</v>
      </c>
      <c r="I30" t="s">
        <v>1132</v>
      </c>
      <c r="J30" t="s">
        <v>1209</v>
      </c>
      <c r="K30" t="s">
        <v>1160</v>
      </c>
      <c r="T30" t="s">
        <v>1210</v>
      </c>
    </row>
    <row r="31" spans="1:26">
      <c r="A31" t="s">
        <v>399</v>
      </c>
      <c r="B31" t="s">
        <v>1213</v>
      </c>
      <c r="C31" t="s">
        <v>401</v>
      </c>
      <c r="D31" t="s">
        <v>1130</v>
      </c>
      <c r="E31" t="s">
        <v>400</v>
      </c>
      <c r="F31">
        <v>0</v>
      </c>
      <c r="H31" t="s">
        <v>1131</v>
      </c>
      <c r="I31" t="s">
        <v>1132</v>
      </c>
      <c r="J31" t="s">
        <v>1209</v>
      </c>
      <c r="K31" t="s">
        <v>1160</v>
      </c>
      <c r="T31" t="s">
        <v>1210</v>
      </c>
    </row>
    <row r="32" spans="1:26">
      <c r="A32" t="s">
        <v>369</v>
      </c>
      <c r="B32" t="s">
        <v>1214</v>
      </c>
      <c r="C32" t="s">
        <v>370</v>
      </c>
      <c r="D32" t="s">
        <v>1130</v>
      </c>
      <c r="H32" t="s">
        <v>1131</v>
      </c>
      <c r="I32" t="s">
        <v>1132</v>
      </c>
      <c r="J32" t="s">
        <v>1209</v>
      </c>
      <c r="K32" t="s">
        <v>1160</v>
      </c>
      <c r="T32" t="s">
        <v>1210</v>
      </c>
    </row>
    <row r="33" spans="1:20">
      <c r="A33" t="s">
        <v>515</v>
      </c>
      <c r="B33" t="s">
        <v>1215</v>
      </c>
      <c r="C33" t="s">
        <v>516</v>
      </c>
      <c r="D33" t="s">
        <v>1130</v>
      </c>
      <c r="E33" t="s">
        <v>181</v>
      </c>
      <c r="F33">
        <v>0</v>
      </c>
      <c r="H33" t="s">
        <v>1131</v>
      </c>
      <c r="I33" t="s">
        <v>1132</v>
      </c>
      <c r="J33" t="s">
        <v>1209</v>
      </c>
      <c r="K33" t="s">
        <v>1160</v>
      </c>
      <c r="T33" t="s">
        <v>1210</v>
      </c>
    </row>
    <row r="34" spans="1:20">
      <c r="A34" t="s">
        <v>1216</v>
      </c>
      <c r="B34" t="s">
        <v>1217</v>
      </c>
      <c r="C34" t="s">
        <v>1218</v>
      </c>
      <c r="D34" t="s">
        <v>1130</v>
      </c>
      <c r="E34" t="s">
        <v>400</v>
      </c>
      <c r="F34">
        <v>0</v>
      </c>
      <c r="H34" t="s">
        <v>1131</v>
      </c>
      <c r="I34" t="s">
        <v>1132</v>
      </c>
      <c r="J34" t="s">
        <v>1209</v>
      </c>
      <c r="K34" t="s">
        <v>1160</v>
      </c>
      <c r="T34" t="s">
        <v>1210</v>
      </c>
    </row>
    <row r="35" spans="1:20">
      <c r="A35" t="s">
        <v>673</v>
      </c>
      <c r="B35" t="s">
        <v>1219</v>
      </c>
      <c r="C35" t="s">
        <v>675</v>
      </c>
      <c r="D35" t="s">
        <v>1130</v>
      </c>
      <c r="E35" t="s">
        <v>674</v>
      </c>
      <c r="F35">
        <v>0</v>
      </c>
      <c r="H35" t="s">
        <v>1131</v>
      </c>
      <c r="I35" t="s">
        <v>1132</v>
      </c>
      <c r="J35" t="s">
        <v>1209</v>
      </c>
      <c r="K35" t="s">
        <v>1160</v>
      </c>
      <c r="T35" t="s">
        <v>1210</v>
      </c>
    </row>
    <row r="36" spans="1:20">
      <c r="A36" t="s">
        <v>445</v>
      </c>
      <c r="B36" t="s">
        <v>1220</v>
      </c>
      <c r="C36" t="s">
        <v>447</v>
      </c>
      <c r="D36" t="s">
        <v>1130</v>
      </c>
      <c r="E36" t="s">
        <v>446</v>
      </c>
      <c r="F36">
        <v>0</v>
      </c>
      <c r="H36" t="s">
        <v>1131</v>
      </c>
      <c r="I36" t="s">
        <v>1132</v>
      </c>
      <c r="J36" t="s">
        <v>1209</v>
      </c>
      <c r="K36" t="s">
        <v>1160</v>
      </c>
      <c r="T36" t="s">
        <v>1210</v>
      </c>
    </row>
    <row r="37" spans="1:20">
      <c r="A37" t="s">
        <v>430</v>
      </c>
      <c r="B37" t="s">
        <v>1221</v>
      </c>
      <c r="C37" t="s">
        <v>431</v>
      </c>
      <c r="D37" t="s">
        <v>1130</v>
      </c>
      <c r="E37" t="s">
        <v>262</v>
      </c>
      <c r="F37">
        <v>0</v>
      </c>
      <c r="H37" t="s">
        <v>1131</v>
      </c>
      <c r="I37" t="s">
        <v>1132</v>
      </c>
      <c r="J37" t="s">
        <v>1209</v>
      </c>
      <c r="K37" t="s">
        <v>1160</v>
      </c>
      <c r="T37" t="s">
        <v>1210</v>
      </c>
    </row>
    <row r="38" spans="1:20">
      <c r="A38" t="s">
        <v>180</v>
      </c>
      <c r="B38" t="s">
        <v>1222</v>
      </c>
      <c r="C38" t="s">
        <v>182</v>
      </c>
      <c r="D38" t="s">
        <v>1130</v>
      </c>
      <c r="E38" t="s">
        <v>181</v>
      </c>
      <c r="F38">
        <v>0</v>
      </c>
      <c r="H38" t="s">
        <v>1131</v>
      </c>
      <c r="I38" t="s">
        <v>1132</v>
      </c>
      <c r="J38" t="s">
        <v>1209</v>
      </c>
      <c r="K38" t="s">
        <v>1160</v>
      </c>
      <c r="T38" t="s">
        <v>1210</v>
      </c>
    </row>
    <row r="39" spans="1:20">
      <c r="A39" t="s">
        <v>1223</v>
      </c>
      <c r="B39" t="s">
        <v>1224</v>
      </c>
      <c r="C39" t="s">
        <v>1225</v>
      </c>
      <c r="D39" t="s">
        <v>1130</v>
      </c>
      <c r="E39" t="s">
        <v>262</v>
      </c>
      <c r="F39">
        <v>0</v>
      </c>
      <c r="H39" t="s">
        <v>1131</v>
      </c>
      <c r="I39" t="s">
        <v>1132</v>
      </c>
      <c r="J39" t="s">
        <v>1209</v>
      </c>
      <c r="K39" t="s">
        <v>1160</v>
      </c>
      <c r="T39" t="s">
        <v>1210</v>
      </c>
    </row>
    <row r="40" spans="1:20">
      <c r="A40" t="s">
        <v>1226</v>
      </c>
      <c r="B40" t="s">
        <v>1227</v>
      </c>
      <c r="C40" t="s">
        <v>1228</v>
      </c>
      <c r="D40" t="s">
        <v>1130</v>
      </c>
      <c r="E40" t="s">
        <v>262</v>
      </c>
      <c r="F40">
        <v>0</v>
      </c>
      <c r="H40" t="s">
        <v>1131</v>
      </c>
      <c r="I40" t="s">
        <v>1132</v>
      </c>
      <c r="J40" t="s">
        <v>1209</v>
      </c>
      <c r="K40" t="s">
        <v>1160</v>
      </c>
      <c r="T40" t="s">
        <v>1210</v>
      </c>
    </row>
    <row r="41" spans="1:20">
      <c r="A41" t="s">
        <v>556</v>
      </c>
      <c r="B41" t="s">
        <v>1229</v>
      </c>
      <c r="C41" t="s">
        <v>558</v>
      </c>
      <c r="D41" t="s">
        <v>1130</v>
      </c>
      <c r="E41" t="s">
        <v>557</v>
      </c>
      <c r="F41">
        <v>0</v>
      </c>
      <c r="H41" t="s">
        <v>1131</v>
      </c>
      <c r="I41" t="s">
        <v>1132</v>
      </c>
      <c r="J41" t="s">
        <v>1209</v>
      </c>
      <c r="K41" t="s">
        <v>1160</v>
      </c>
      <c r="T41" t="s">
        <v>1210</v>
      </c>
    </row>
    <row r="42" spans="1:20">
      <c r="A42" t="s">
        <v>33</v>
      </c>
      <c r="B42" t="s">
        <v>1230</v>
      </c>
      <c r="C42" t="s">
        <v>294</v>
      </c>
      <c r="D42" t="s">
        <v>1130</v>
      </c>
      <c r="E42" t="s">
        <v>262</v>
      </c>
      <c r="F42">
        <v>0</v>
      </c>
      <c r="H42" t="s">
        <v>1131</v>
      </c>
      <c r="I42" t="s">
        <v>1132</v>
      </c>
      <c r="J42" t="s">
        <v>1209</v>
      </c>
      <c r="K42" t="s">
        <v>1160</v>
      </c>
      <c r="T42" t="s">
        <v>1210</v>
      </c>
    </row>
    <row r="43" spans="1:20">
      <c r="A43" t="s">
        <v>231</v>
      </c>
      <c r="B43" t="s">
        <v>1231</v>
      </c>
      <c r="C43" t="s">
        <v>233</v>
      </c>
      <c r="D43" t="s">
        <v>1130</v>
      </c>
      <c r="E43" t="s">
        <v>232</v>
      </c>
      <c r="F43">
        <v>0</v>
      </c>
      <c r="H43" t="s">
        <v>1131</v>
      </c>
      <c r="I43" t="s">
        <v>1132</v>
      </c>
      <c r="J43" t="s">
        <v>1232</v>
      </c>
      <c r="K43" t="s">
        <v>1233</v>
      </c>
    </row>
    <row r="44" spans="1:20">
      <c r="A44" t="s">
        <v>235</v>
      </c>
      <c r="B44" t="s">
        <v>1234</v>
      </c>
      <c r="C44" t="s">
        <v>237</v>
      </c>
      <c r="D44" t="s">
        <v>1130</v>
      </c>
      <c r="E44" t="s">
        <v>236</v>
      </c>
      <c r="F44">
        <v>0</v>
      </c>
      <c r="H44" t="s">
        <v>1131</v>
      </c>
      <c r="I44" t="s">
        <v>1132</v>
      </c>
      <c r="J44" t="s">
        <v>1232</v>
      </c>
      <c r="K44" t="s">
        <v>1233</v>
      </c>
    </row>
    <row r="45" spans="1:20">
      <c r="A45" t="s">
        <v>1235</v>
      </c>
      <c r="B45" t="s">
        <v>518</v>
      </c>
      <c r="C45" t="s">
        <v>1236</v>
      </c>
      <c r="D45" t="s">
        <v>1149</v>
      </c>
      <c r="F45">
        <v>0</v>
      </c>
      <c r="H45" t="s">
        <v>1131</v>
      </c>
      <c r="I45" t="s">
        <v>1132</v>
      </c>
      <c r="J45" t="s">
        <v>1232</v>
      </c>
      <c r="K45" t="s">
        <v>1233</v>
      </c>
    </row>
    <row r="46" spans="1:20">
      <c r="A46" t="s">
        <v>256</v>
      </c>
      <c r="B46" t="s">
        <v>1237</v>
      </c>
      <c r="C46" t="s">
        <v>258</v>
      </c>
      <c r="D46" t="s">
        <v>1130</v>
      </c>
      <c r="E46" t="s">
        <v>257</v>
      </c>
      <c r="F46">
        <v>0</v>
      </c>
      <c r="H46" t="s">
        <v>1131</v>
      </c>
      <c r="I46" t="s">
        <v>1132</v>
      </c>
      <c r="J46" t="s">
        <v>1232</v>
      </c>
      <c r="K46" t="s">
        <v>1233</v>
      </c>
    </row>
    <row r="47" spans="1:20">
      <c r="A47" t="s">
        <v>256</v>
      </c>
      <c r="B47" t="s">
        <v>1238</v>
      </c>
      <c r="C47" t="s">
        <v>260</v>
      </c>
      <c r="D47" t="s">
        <v>1130</v>
      </c>
      <c r="E47" t="s">
        <v>259</v>
      </c>
      <c r="F47">
        <v>0</v>
      </c>
      <c r="H47" t="s">
        <v>1131</v>
      </c>
      <c r="I47" t="s">
        <v>1132</v>
      </c>
      <c r="J47" t="s">
        <v>1232</v>
      </c>
      <c r="K47" t="s">
        <v>1233</v>
      </c>
    </row>
    <row r="48" spans="1:20">
      <c r="A48" t="s">
        <v>261</v>
      </c>
      <c r="B48" t="s">
        <v>1239</v>
      </c>
      <c r="C48" t="s">
        <v>263</v>
      </c>
      <c r="D48" t="s">
        <v>1130</v>
      </c>
      <c r="E48" t="s">
        <v>262</v>
      </c>
      <c r="F48">
        <v>0</v>
      </c>
      <c r="H48" t="s">
        <v>1131</v>
      </c>
      <c r="I48" t="s">
        <v>1132</v>
      </c>
      <c r="J48" t="s">
        <v>1232</v>
      </c>
      <c r="K48" t="s">
        <v>1233</v>
      </c>
    </row>
    <row r="49" spans="1:11">
      <c r="A49" t="s">
        <v>264</v>
      </c>
      <c r="B49" t="s">
        <v>1240</v>
      </c>
      <c r="C49" t="s">
        <v>266</v>
      </c>
      <c r="D49" t="s">
        <v>1130</v>
      </c>
      <c r="E49" t="s">
        <v>265</v>
      </c>
      <c r="F49">
        <v>0</v>
      </c>
      <c r="H49" t="s">
        <v>1131</v>
      </c>
      <c r="I49" t="s">
        <v>1132</v>
      </c>
      <c r="J49" t="s">
        <v>1232</v>
      </c>
      <c r="K49" t="s">
        <v>1233</v>
      </c>
    </row>
    <row r="50" spans="1:11">
      <c r="A50" t="s">
        <v>1241</v>
      </c>
      <c r="B50" t="s">
        <v>1242</v>
      </c>
      <c r="C50" t="s">
        <v>1243</v>
      </c>
      <c r="D50" t="s">
        <v>1130</v>
      </c>
      <c r="E50" t="s">
        <v>262</v>
      </c>
      <c r="F50">
        <v>0</v>
      </c>
      <c r="H50" t="s">
        <v>1131</v>
      </c>
      <c r="I50" t="s">
        <v>1132</v>
      </c>
      <c r="J50" t="s">
        <v>1232</v>
      </c>
      <c r="K50" t="s">
        <v>1233</v>
      </c>
    </row>
    <row r="51" spans="1:11">
      <c r="A51" t="s">
        <v>355</v>
      </c>
      <c r="B51" t="s">
        <v>1244</v>
      </c>
      <c r="C51" t="s">
        <v>357</v>
      </c>
      <c r="D51" t="s">
        <v>1130</v>
      </c>
      <c r="E51" t="s">
        <v>356</v>
      </c>
      <c r="F51">
        <v>0</v>
      </c>
      <c r="H51" t="s">
        <v>1131</v>
      </c>
      <c r="I51" t="s">
        <v>1132</v>
      </c>
      <c r="J51" t="s">
        <v>1232</v>
      </c>
      <c r="K51" t="s">
        <v>1233</v>
      </c>
    </row>
    <row r="52" spans="1:11">
      <c r="A52" t="s">
        <v>355</v>
      </c>
      <c r="B52" t="s">
        <v>1245</v>
      </c>
      <c r="C52" t="s">
        <v>359</v>
      </c>
      <c r="D52" t="s">
        <v>1130</v>
      </c>
      <c r="E52" t="s">
        <v>358</v>
      </c>
      <c r="F52">
        <v>0</v>
      </c>
      <c r="H52" t="s">
        <v>1131</v>
      </c>
      <c r="I52" t="s">
        <v>1132</v>
      </c>
      <c r="J52" t="s">
        <v>1232</v>
      </c>
      <c r="K52" t="s">
        <v>1233</v>
      </c>
    </row>
    <row r="53" spans="1:11">
      <c r="A53" t="s">
        <v>1246</v>
      </c>
      <c r="B53" t="s">
        <v>1247</v>
      </c>
      <c r="C53" t="s">
        <v>1248</v>
      </c>
      <c r="D53" t="s">
        <v>1130</v>
      </c>
      <c r="E53" t="s">
        <v>1249</v>
      </c>
      <c r="F53">
        <v>0</v>
      </c>
      <c r="H53" t="s">
        <v>1131</v>
      </c>
      <c r="I53" t="s">
        <v>1132</v>
      </c>
      <c r="J53" t="s">
        <v>1232</v>
      </c>
      <c r="K53" t="s">
        <v>1233</v>
      </c>
    </row>
    <row r="54" spans="1:11">
      <c r="A54" t="s">
        <v>360</v>
      </c>
      <c r="B54" t="s">
        <v>1250</v>
      </c>
      <c r="C54" t="s">
        <v>362</v>
      </c>
      <c r="D54" t="s">
        <v>1130</v>
      </c>
      <c r="E54" t="s">
        <v>361</v>
      </c>
      <c r="F54">
        <v>1.5</v>
      </c>
      <c r="H54" t="s">
        <v>1131</v>
      </c>
      <c r="I54" t="s">
        <v>1132</v>
      </c>
      <c r="J54" t="s">
        <v>1232</v>
      </c>
      <c r="K54" t="s">
        <v>1233</v>
      </c>
    </row>
    <row r="55" spans="1:11">
      <c r="A55" t="s">
        <v>1251</v>
      </c>
      <c r="B55" t="s">
        <v>1252</v>
      </c>
      <c r="C55" t="s">
        <v>1253</v>
      </c>
      <c r="D55" t="s">
        <v>1130</v>
      </c>
      <c r="E55" t="s">
        <v>1254</v>
      </c>
      <c r="F55">
        <v>0</v>
      </c>
      <c r="H55" t="s">
        <v>1131</v>
      </c>
      <c r="I55" t="s">
        <v>1132</v>
      </c>
      <c r="J55" t="s">
        <v>1232</v>
      </c>
      <c r="K55" t="s">
        <v>1233</v>
      </c>
    </row>
    <row r="56" spans="1:11">
      <c r="A56" t="s">
        <v>363</v>
      </c>
      <c r="B56" t="s">
        <v>1255</v>
      </c>
      <c r="C56" t="s">
        <v>365</v>
      </c>
      <c r="D56" t="s">
        <v>1130</v>
      </c>
      <c r="E56" t="s">
        <v>364</v>
      </c>
      <c r="F56">
        <v>1.5</v>
      </c>
      <c r="H56" t="s">
        <v>1131</v>
      </c>
      <c r="I56" t="s">
        <v>1132</v>
      </c>
      <c r="J56" t="s">
        <v>1232</v>
      </c>
      <c r="K56" t="s">
        <v>1233</v>
      </c>
    </row>
    <row r="57" spans="1:11">
      <c r="A57" t="s">
        <v>366</v>
      </c>
      <c r="B57" t="s">
        <v>1256</v>
      </c>
      <c r="C57" t="s">
        <v>368</v>
      </c>
      <c r="D57" t="s">
        <v>1130</v>
      </c>
      <c r="E57" t="s">
        <v>367</v>
      </c>
      <c r="F57">
        <v>0</v>
      </c>
      <c r="H57" t="s">
        <v>1131</v>
      </c>
      <c r="I57" t="s">
        <v>1132</v>
      </c>
      <c r="J57" t="s">
        <v>1232</v>
      </c>
      <c r="K57" t="s">
        <v>1233</v>
      </c>
    </row>
    <row r="58" spans="1:11">
      <c r="A58" t="s">
        <v>442</v>
      </c>
      <c r="B58" t="s">
        <v>1257</v>
      </c>
      <c r="C58" t="s">
        <v>444</v>
      </c>
      <c r="D58" t="s">
        <v>1130</v>
      </c>
      <c r="E58" t="s">
        <v>443</v>
      </c>
      <c r="F58">
        <v>1.5</v>
      </c>
      <c r="H58" t="s">
        <v>1131</v>
      </c>
      <c r="I58" t="s">
        <v>1132</v>
      </c>
      <c r="J58" t="s">
        <v>1232</v>
      </c>
      <c r="K58" t="s">
        <v>1233</v>
      </c>
    </row>
    <row r="59" spans="1:11">
      <c r="A59" t="s">
        <v>467</v>
      </c>
      <c r="B59" t="s">
        <v>1258</v>
      </c>
      <c r="C59" t="s">
        <v>469</v>
      </c>
      <c r="D59" t="s">
        <v>1149</v>
      </c>
      <c r="E59" t="s">
        <v>468</v>
      </c>
      <c r="F59">
        <v>1.5</v>
      </c>
      <c r="H59" t="s">
        <v>1131</v>
      </c>
      <c r="I59" t="s">
        <v>1132</v>
      </c>
      <c r="J59" t="s">
        <v>1232</v>
      </c>
      <c r="K59" t="s">
        <v>1233</v>
      </c>
    </row>
    <row r="60" spans="1:11">
      <c r="A60" t="s">
        <v>470</v>
      </c>
      <c r="B60" t="s">
        <v>1259</v>
      </c>
      <c r="C60" t="s">
        <v>472</v>
      </c>
      <c r="D60" t="s">
        <v>1149</v>
      </c>
      <c r="E60" t="s">
        <v>471</v>
      </c>
      <c r="F60">
        <v>1.5</v>
      </c>
      <c r="H60" t="s">
        <v>1131</v>
      </c>
      <c r="I60" t="s">
        <v>1132</v>
      </c>
      <c r="J60" t="s">
        <v>1232</v>
      </c>
      <c r="K60" t="s">
        <v>1233</v>
      </c>
    </row>
    <row r="61" spans="1:11">
      <c r="A61" t="s">
        <v>473</v>
      </c>
      <c r="B61" t="s">
        <v>1260</v>
      </c>
      <c r="C61" t="s">
        <v>474</v>
      </c>
      <c r="D61" t="s">
        <v>1149</v>
      </c>
      <c r="E61" t="s">
        <v>471</v>
      </c>
      <c r="F61">
        <v>1.5</v>
      </c>
      <c r="H61" t="s">
        <v>1131</v>
      </c>
      <c r="I61" t="s">
        <v>1132</v>
      </c>
      <c r="J61" t="s">
        <v>1232</v>
      </c>
      <c r="K61" t="s">
        <v>1233</v>
      </c>
    </row>
    <row r="62" spans="1:11">
      <c r="A62" t="s">
        <v>475</v>
      </c>
      <c r="B62" t="s">
        <v>1261</v>
      </c>
      <c r="C62" t="s">
        <v>477</v>
      </c>
      <c r="D62" t="s">
        <v>1149</v>
      </c>
      <c r="E62" t="s">
        <v>476</v>
      </c>
      <c r="F62">
        <v>0</v>
      </c>
      <c r="H62" t="s">
        <v>1131</v>
      </c>
      <c r="I62" t="s">
        <v>1132</v>
      </c>
      <c r="J62" t="s">
        <v>1232</v>
      </c>
      <c r="K62" t="s">
        <v>1233</v>
      </c>
    </row>
    <row r="63" spans="1:11">
      <c r="A63" t="s">
        <v>503</v>
      </c>
      <c r="B63" t="s">
        <v>1262</v>
      </c>
      <c r="C63" t="s">
        <v>505</v>
      </c>
      <c r="D63" t="s">
        <v>1149</v>
      </c>
      <c r="E63" t="s">
        <v>504</v>
      </c>
      <c r="F63">
        <v>1.5</v>
      </c>
      <c r="H63" t="s">
        <v>1131</v>
      </c>
      <c r="I63" t="s">
        <v>1132</v>
      </c>
      <c r="J63" t="s">
        <v>1232</v>
      </c>
      <c r="K63" t="s">
        <v>1233</v>
      </c>
    </row>
    <row r="64" spans="1:11">
      <c r="A64" t="s">
        <v>506</v>
      </c>
      <c r="B64" t="s">
        <v>1263</v>
      </c>
      <c r="C64" t="s">
        <v>508</v>
      </c>
      <c r="D64" t="s">
        <v>1149</v>
      </c>
      <c r="E64" t="s">
        <v>507</v>
      </c>
      <c r="F64">
        <v>0</v>
      </c>
      <c r="H64" t="s">
        <v>1131</v>
      </c>
      <c r="I64" t="s">
        <v>1132</v>
      </c>
      <c r="J64" t="s">
        <v>1232</v>
      </c>
      <c r="K64" t="s">
        <v>1233</v>
      </c>
    </row>
    <row r="65" spans="1:11">
      <c r="A65" t="s">
        <v>509</v>
      </c>
      <c r="B65" t="s">
        <v>1264</v>
      </c>
      <c r="C65" t="s">
        <v>511</v>
      </c>
      <c r="D65" t="s">
        <v>1149</v>
      </c>
      <c r="E65" t="s">
        <v>510</v>
      </c>
      <c r="F65">
        <v>0</v>
      </c>
      <c r="H65" t="s">
        <v>1131</v>
      </c>
      <c r="I65" t="s">
        <v>1132</v>
      </c>
      <c r="J65" t="s">
        <v>1232</v>
      </c>
      <c r="K65" t="s">
        <v>1233</v>
      </c>
    </row>
    <row r="66" spans="1:11">
      <c r="A66" t="s">
        <v>512</v>
      </c>
      <c r="B66" t="s">
        <v>1265</v>
      </c>
      <c r="C66" t="s">
        <v>514</v>
      </c>
      <c r="D66" t="s">
        <v>1149</v>
      </c>
      <c r="E66" t="s">
        <v>513</v>
      </c>
      <c r="F66">
        <v>1.5</v>
      </c>
      <c r="H66" t="s">
        <v>1131</v>
      </c>
      <c r="I66" t="s">
        <v>1132</v>
      </c>
      <c r="J66" t="s">
        <v>1232</v>
      </c>
      <c r="K66" t="s">
        <v>1233</v>
      </c>
    </row>
    <row r="67" spans="1:11">
      <c r="A67" t="s">
        <v>465</v>
      </c>
      <c r="B67" t="s">
        <v>1266</v>
      </c>
      <c r="C67" t="s">
        <v>466</v>
      </c>
      <c r="D67" t="s">
        <v>1149</v>
      </c>
      <c r="H67" t="s">
        <v>1131</v>
      </c>
      <c r="I67" t="s">
        <v>1132</v>
      </c>
      <c r="J67" t="s">
        <v>1232</v>
      </c>
      <c r="K67" t="s">
        <v>1233</v>
      </c>
    </row>
    <row r="68" spans="1:11">
      <c r="A68" t="s">
        <v>521</v>
      </c>
      <c r="B68" t="s">
        <v>1267</v>
      </c>
      <c r="C68" t="s">
        <v>522</v>
      </c>
      <c r="D68" t="s">
        <v>1130</v>
      </c>
      <c r="E68" t="s">
        <v>262</v>
      </c>
      <c r="F68">
        <v>0</v>
      </c>
      <c r="H68" t="s">
        <v>1131</v>
      </c>
      <c r="I68" t="s">
        <v>1132</v>
      </c>
      <c r="J68" t="s">
        <v>1232</v>
      </c>
      <c r="K68" t="s">
        <v>1233</v>
      </c>
    </row>
    <row r="69" spans="1:11">
      <c r="A69" t="s">
        <v>523</v>
      </c>
      <c r="B69" t="s">
        <v>1268</v>
      </c>
      <c r="C69" t="s">
        <v>524</v>
      </c>
      <c r="D69" t="s">
        <v>1130</v>
      </c>
      <c r="E69" t="s">
        <v>259</v>
      </c>
      <c r="F69">
        <v>1.5</v>
      </c>
      <c r="H69" t="s">
        <v>1131</v>
      </c>
      <c r="I69" t="s">
        <v>1132</v>
      </c>
      <c r="J69" t="s">
        <v>1232</v>
      </c>
      <c r="K69" t="s">
        <v>1233</v>
      </c>
    </row>
    <row r="70" spans="1:11">
      <c r="A70" t="s">
        <v>525</v>
      </c>
      <c r="B70" t="s">
        <v>1269</v>
      </c>
      <c r="C70" t="s">
        <v>527</v>
      </c>
      <c r="D70" t="s">
        <v>1130</v>
      </c>
      <c r="E70" t="s">
        <v>526</v>
      </c>
      <c r="F70">
        <v>1.5</v>
      </c>
      <c r="H70" t="s">
        <v>1131</v>
      </c>
      <c r="I70" t="s">
        <v>1132</v>
      </c>
      <c r="J70" t="s">
        <v>1232</v>
      </c>
      <c r="K70" t="s">
        <v>1233</v>
      </c>
    </row>
    <row r="71" spans="1:11">
      <c r="A71" t="s">
        <v>528</v>
      </c>
      <c r="B71" t="s">
        <v>1270</v>
      </c>
      <c r="C71" t="s">
        <v>530</v>
      </c>
      <c r="D71" t="s">
        <v>1130</v>
      </c>
      <c r="E71" t="s">
        <v>529</v>
      </c>
      <c r="F71">
        <v>1.5</v>
      </c>
      <c r="H71" t="s">
        <v>1131</v>
      </c>
      <c r="I71" t="s">
        <v>1132</v>
      </c>
      <c r="J71" t="s">
        <v>1232</v>
      </c>
      <c r="K71" t="s">
        <v>1233</v>
      </c>
    </row>
    <row r="72" spans="1:11">
      <c r="A72" t="s">
        <v>531</v>
      </c>
      <c r="B72" t="s">
        <v>1271</v>
      </c>
      <c r="C72" t="s">
        <v>533</v>
      </c>
      <c r="D72" t="s">
        <v>1130</v>
      </c>
      <c r="E72" t="s">
        <v>532</v>
      </c>
      <c r="F72">
        <v>0</v>
      </c>
      <c r="H72" t="s">
        <v>1131</v>
      </c>
      <c r="I72" t="s">
        <v>1132</v>
      </c>
      <c r="J72" t="s">
        <v>1232</v>
      </c>
      <c r="K72" t="s">
        <v>1233</v>
      </c>
    </row>
    <row r="73" spans="1:11">
      <c r="A73" t="s">
        <v>542</v>
      </c>
      <c r="B73" t="s">
        <v>1272</v>
      </c>
      <c r="C73" t="s">
        <v>544</v>
      </c>
      <c r="D73" t="s">
        <v>1130</v>
      </c>
      <c r="E73" t="s">
        <v>543</v>
      </c>
      <c r="F73">
        <v>1.5</v>
      </c>
      <c r="H73" t="s">
        <v>1131</v>
      </c>
      <c r="I73" t="s">
        <v>1132</v>
      </c>
      <c r="J73" t="s">
        <v>1232</v>
      </c>
      <c r="K73" t="s">
        <v>1233</v>
      </c>
    </row>
    <row r="74" spans="1:11">
      <c r="A74" t="s">
        <v>545</v>
      </c>
      <c r="B74" t="s">
        <v>1273</v>
      </c>
      <c r="C74" t="s">
        <v>547</v>
      </c>
      <c r="D74" t="s">
        <v>1130</v>
      </c>
      <c r="E74" t="s">
        <v>546</v>
      </c>
      <c r="F74">
        <v>0</v>
      </c>
      <c r="H74" t="s">
        <v>1131</v>
      </c>
      <c r="I74" t="s">
        <v>1132</v>
      </c>
      <c r="J74" t="s">
        <v>1232</v>
      </c>
      <c r="K74" t="s">
        <v>1233</v>
      </c>
    </row>
    <row r="75" spans="1:11">
      <c r="A75" t="s">
        <v>545</v>
      </c>
      <c r="B75" t="s">
        <v>1274</v>
      </c>
      <c r="C75" t="s">
        <v>549</v>
      </c>
      <c r="D75" t="s">
        <v>1130</v>
      </c>
      <c r="E75" t="s">
        <v>548</v>
      </c>
      <c r="F75">
        <v>1.5</v>
      </c>
      <c r="H75" t="s">
        <v>1131</v>
      </c>
      <c r="I75" t="s">
        <v>1132</v>
      </c>
      <c r="J75" t="s">
        <v>1232</v>
      </c>
      <c r="K75" t="s">
        <v>1233</v>
      </c>
    </row>
    <row r="76" spans="1:11">
      <c r="A76" t="s">
        <v>550</v>
      </c>
      <c r="B76" t="s">
        <v>1275</v>
      </c>
      <c r="C76" t="s">
        <v>552</v>
      </c>
      <c r="D76" t="s">
        <v>1130</v>
      </c>
      <c r="E76" t="s">
        <v>551</v>
      </c>
      <c r="F76">
        <v>1.5</v>
      </c>
      <c r="H76" t="s">
        <v>1131</v>
      </c>
      <c r="I76" t="s">
        <v>1132</v>
      </c>
      <c r="J76" t="s">
        <v>1232</v>
      </c>
      <c r="K76" t="s">
        <v>1233</v>
      </c>
    </row>
    <row r="77" spans="1:11">
      <c r="A77" t="s">
        <v>1276</v>
      </c>
      <c r="B77" t="s">
        <v>1277</v>
      </c>
      <c r="C77" t="s">
        <v>1278</v>
      </c>
      <c r="D77" t="s">
        <v>1130</v>
      </c>
      <c r="E77" t="s">
        <v>548</v>
      </c>
      <c r="F77">
        <v>1.5</v>
      </c>
      <c r="H77" t="s">
        <v>1131</v>
      </c>
      <c r="I77" t="s">
        <v>1132</v>
      </c>
      <c r="J77" t="s">
        <v>1232</v>
      </c>
      <c r="K77" t="s">
        <v>1233</v>
      </c>
    </row>
    <row r="78" spans="1:11">
      <c r="A78" t="s">
        <v>534</v>
      </c>
      <c r="B78" t="s">
        <v>1279</v>
      </c>
      <c r="C78" t="s">
        <v>535</v>
      </c>
      <c r="D78" t="s">
        <v>1130</v>
      </c>
      <c r="E78" t="s">
        <v>262</v>
      </c>
      <c r="F78">
        <v>0</v>
      </c>
      <c r="H78" t="s">
        <v>1131</v>
      </c>
      <c r="I78" t="s">
        <v>1132</v>
      </c>
      <c r="J78" t="s">
        <v>1232</v>
      </c>
      <c r="K78" t="s">
        <v>1233</v>
      </c>
    </row>
    <row r="79" spans="1:11">
      <c r="A79" t="s">
        <v>537</v>
      </c>
      <c r="B79" t="s">
        <v>1280</v>
      </c>
      <c r="C79" t="s">
        <v>539</v>
      </c>
      <c r="D79" t="s">
        <v>1130</v>
      </c>
      <c r="E79" t="s">
        <v>538</v>
      </c>
      <c r="F79">
        <v>0</v>
      </c>
      <c r="H79" t="s">
        <v>1131</v>
      </c>
      <c r="I79" t="s">
        <v>1132</v>
      </c>
      <c r="J79" t="s">
        <v>1232</v>
      </c>
      <c r="K79" t="s">
        <v>1233</v>
      </c>
    </row>
    <row r="80" spans="1:11">
      <c r="A80" t="s">
        <v>540</v>
      </c>
      <c r="B80" t="s">
        <v>1281</v>
      </c>
      <c r="C80" t="s">
        <v>541</v>
      </c>
      <c r="D80" t="s">
        <v>1130</v>
      </c>
      <c r="E80" t="s">
        <v>262</v>
      </c>
      <c r="F80">
        <v>0</v>
      </c>
      <c r="H80" t="s">
        <v>1131</v>
      </c>
      <c r="I80" t="s">
        <v>1132</v>
      </c>
      <c r="J80" t="s">
        <v>1232</v>
      </c>
      <c r="K80" t="s">
        <v>1233</v>
      </c>
    </row>
    <row r="81" spans="1:11">
      <c r="A81" t="s">
        <v>553</v>
      </c>
      <c r="B81" t="s">
        <v>1282</v>
      </c>
      <c r="C81" t="s">
        <v>555</v>
      </c>
      <c r="D81" t="s">
        <v>1130</v>
      </c>
      <c r="E81" t="s">
        <v>554</v>
      </c>
      <c r="F81">
        <v>0</v>
      </c>
      <c r="H81" t="s">
        <v>1131</v>
      </c>
      <c r="I81" t="s">
        <v>1132</v>
      </c>
      <c r="J81" t="s">
        <v>1232</v>
      </c>
      <c r="K81" t="s">
        <v>1233</v>
      </c>
    </row>
    <row r="82" spans="1:11">
      <c r="A82" t="s">
        <v>495</v>
      </c>
      <c r="B82" t="s">
        <v>1283</v>
      </c>
      <c r="C82" t="s">
        <v>1284</v>
      </c>
      <c r="D82" t="s">
        <v>1149</v>
      </c>
      <c r="E82" t="s">
        <v>496</v>
      </c>
      <c r="F82">
        <v>1.5</v>
      </c>
      <c r="H82" t="s">
        <v>1131</v>
      </c>
      <c r="I82" t="s">
        <v>1132</v>
      </c>
      <c r="J82" t="s">
        <v>1232</v>
      </c>
      <c r="K82" t="s">
        <v>1233</v>
      </c>
    </row>
    <row r="83" spans="1:11">
      <c r="A83" t="s">
        <v>174</v>
      </c>
      <c r="B83" t="s">
        <v>1285</v>
      </c>
      <c r="C83" t="s">
        <v>176</v>
      </c>
      <c r="D83" t="s">
        <v>1149</v>
      </c>
      <c r="E83" t="s">
        <v>175</v>
      </c>
      <c r="F83">
        <v>0</v>
      </c>
      <c r="H83" t="s">
        <v>1131</v>
      </c>
      <c r="I83" t="s">
        <v>1132</v>
      </c>
      <c r="J83" t="s">
        <v>1232</v>
      </c>
      <c r="K83" t="s">
        <v>1233</v>
      </c>
    </row>
    <row r="84" spans="1:11">
      <c r="A84" t="s">
        <v>177</v>
      </c>
      <c r="B84" t="s">
        <v>1286</v>
      </c>
      <c r="C84" t="s">
        <v>179</v>
      </c>
      <c r="D84" t="s">
        <v>1149</v>
      </c>
      <c r="E84" t="s">
        <v>178</v>
      </c>
      <c r="F84">
        <v>1.5</v>
      </c>
      <c r="H84" t="s">
        <v>1131</v>
      </c>
      <c r="I84" t="s">
        <v>1132</v>
      </c>
      <c r="J84" t="s">
        <v>1232</v>
      </c>
      <c r="K84" t="s">
        <v>1233</v>
      </c>
    </row>
    <row r="85" spans="1:11">
      <c r="A85" t="s">
        <v>498</v>
      </c>
      <c r="B85" t="s">
        <v>1287</v>
      </c>
      <c r="C85" t="s">
        <v>1288</v>
      </c>
      <c r="D85" t="s">
        <v>1149</v>
      </c>
      <c r="E85" t="s">
        <v>499</v>
      </c>
      <c r="F85">
        <v>1.5</v>
      </c>
      <c r="H85" t="s">
        <v>1131</v>
      </c>
      <c r="I85" t="s">
        <v>1132</v>
      </c>
      <c r="J85" t="s">
        <v>1232</v>
      </c>
      <c r="K85" t="s">
        <v>1233</v>
      </c>
    </row>
    <row r="86" spans="1:11">
      <c r="A86" t="s">
        <v>591</v>
      </c>
      <c r="B86" t="s">
        <v>1289</v>
      </c>
      <c r="C86" t="s">
        <v>593</v>
      </c>
      <c r="D86" t="s">
        <v>1130</v>
      </c>
      <c r="E86" t="s">
        <v>592</v>
      </c>
      <c r="F86">
        <v>0</v>
      </c>
      <c r="H86" t="s">
        <v>1131</v>
      </c>
      <c r="I86" t="s">
        <v>1132</v>
      </c>
      <c r="J86" t="s">
        <v>1232</v>
      </c>
      <c r="K86" t="s">
        <v>1233</v>
      </c>
    </row>
    <row r="87" spans="1:11">
      <c r="A87" t="s">
        <v>594</v>
      </c>
      <c r="B87" t="s">
        <v>1290</v>
      </c>
      <c r="C87" t="s">
        <v>595</v>
      </c>
      <c r="D87" t="s">
        <v>1130</v>
      </c>
      <c r="E87" t="s">
        <v>592</v>
      </c>
      <c r="F87">
        <v>0</v>
      </c>
      <c r="H87" t="s">
        <v>1131</v>
      </c>
      <c r="I87" t="s">
        <v>1132</v>
      </c>
      <c r="J87" t="s">
        <v>1232</v>
      </c>
      <c r="K87" t="s">
        <v>1233</v>
      </c>
    </row>
    <row r="88" spans="1:11">
      <c r="A88" t="s">
        <v>663</v>
      </c>
      <c r="B88" t="s">
        <v>1291</v>
      </c>
      <c r="C88" t="s">
        <v>665</v>
      </c>
      <c r="D88" t="s">
        <v>1130</v>
      </c>
      <c r="E88" t="s">
        <v>664</v>
      </c>
      <c r="F88">
        <v>1.5</v>
      </c>
      <c r="H88" t="s">
        <v>1131</v>
      </c>
      <c r="I88" t="s">
        <v>1132</v>
      </c>
      <c r="J88" t="s">
        <v>1232</v>
      </c>
      <c r="K88" t="s">
        <v>1233</v>
      </c>
    </row>
    <row r="89" spans="1:11">
      <c r="A89" t="s">
        <v>666</v>
      </c>
      <c r="B89" t="s">
        <v>1292</v>
      </c>
      <c r="C89" t="s">
        <v>667</v>
      </c>
      <c r="D89" t="s">
        <v>1130</v>
      </c>
      <c r="E89" t="s">
        <v>557</v>
      </c>
      <c r="F89">
        <v>0</v>
      </c>
      <c r="H89" t="s">
        <v>1131</v>
      </c>
      <c r="I89" t="s">
        <v>1132</v>
      </c>
      <c r="J89" t="s">
        <v>1232</v>
      </c>
      <c r="K89" t="s">
        <v>1233</v>
      </c>
    </row>
    <row r="90" spans="1:11">
      <c r="A90" t="s">
        <v>1293</v>
      </c>
      <c r="B90" t="s">
        <v>1294</v>
      </c>
      <c r="C90" t="s">
        <v>1295</v>
      </c>
      <c r="D90" t="s">
        <v>1130</v>
      </c>
      <c r="E90" t="s">
        <v>1296</v>
      </c>
      <c r="F90">
        <v>0</v>
      </c>
      <c r="H90" t="s">
        <v>1131</v>
      </c>
      <c r="I90" t="s">
        <v>1132</v>
      </c>
      <c r="J90" t="s">
        <v>1232</v>
      </c>
      <c r="K90" t="s">
        <v>1233</v>
      </c>
    </row>
    <row r="91" spans="1:11">
      <c r="A91" t="s">
        <v>668</v>
      </c>
      <c r="B91" t="s">
        <v>1297</v>
      </c>
      <c r="C91" t="s">
        <v>670</v>
      </c>
      <c r="D91" t="s">
        <v>1130</v>
      </c>
      <c r="E91" t="s">
        <v>669</v>
      </c>
      <c r="F91">
        <v>1.5</v>
      </c>
      <c r="H91" t="s">
        <v>1131</v>
      </c>
      <c r="I91" t="s">
        <v>1132</v>
      </c>
      <c r="J91" t="s">
        <v>1232</v>
      </c>
      <c r="K91" t="s">
        <v>1233</v>
      </c>
    </row>
    <row r="92" spans="1:11">
      <c r="A92" t="s">
        <v>671</v>
      </c>
      <c r="B92" t="s">
        <v>1298</v>
      </c>
      <c r="C92" t="s">
        <v>672</v>
      </c>
      <c r="D92" t="s">
        <v>1130</v>
      </c>
      <c r="E92" t="s">
        <v>229</v>
      </c>
      <c r="F92">
        <v>0</v>
      </c>
      <c r="H92" t="s">
        <v>1131</v>
      </c>
      <c r="I92" t="s">
        <v>1132</v>
      </c>
      <c r="J92" t="s">
        <v>1232</v>
      </c>
      <c r="K92" t="s">
        <v>1233</v>
      </c>
    </row>
    <row r="93" spans="1:11">
      <c r="A93" t="s">
        <v>315</v>
      </c>
      <c r="B93" t="s">
        <v>1299</v>
      </c>
      <c r="C93" t="s">
        <v>1300</v>
      </c>
      <c r="D93" t="s">
        <v>1130</v>
      </c>
      <c r="E93" t="s">
        <v>262</v>
      </c>
      <c r="F93">
        <v>0</v>
      </c>
      <c r="H93" t="s">
        <v>1131</v>
      </c>
      <c r="I93" t="s">
        <v>1132</v>
      </c>
      <c r="J93" t="s">
        <v>1232</v>
      </c>
      <c r="K93" t="s">
        <v>1233</v>
      </c>
    </row>
    <row r="94" spans="1:11">
      <c r="A94" t="s">
        <v>320</v>
      </c>
      <c r="B94" t="s">
        <v>1301</v>
      </c>
      <c r="C94" t="s">
        <v>1302</v>
      </c>
      <c r="D94" t="s">
        <v>1130</v>
      </c>
      <c r="E94" t="s">
        <v>262</v>
      </c>
      <c r="F94">
        <v>0</v>
      </c>
      <c r="H94" t="s">
        <v>1131</v>
      </c>
      <c r="I94" t="s">
        <v>1132</v>
      </c>
      <c r="J94" t="s">
        <v>1232</v>
      </c>
      <c r="K94" t="s">
        <v>1233</v>
      </c>
    </row>
    <row r="95" spans="1:11">
      <c r="A95" t="s">
        <v>1303</v>
      </c>
      <c r="B95" t="s">
        <v>1304</v>
      </c>
      <c r="C95" t="s">
        <v>1305</v>
      </c>
      <c r="D95" t="s">
        <v>1130</v>
      </c>
      <c r="E95" t="s">
        <v>532</v>
      </c>
      <c r="F95">
        <v>0</v>
      </c>
      <c r="H95" t="s">
        <v>1131</v>
      </c>
      <c r="I95" t="s">
        <v>1132</v>
      </c>
      <c r="J95" t="s">
        <v>1232</v>
      </c>
      <c r="K95" t="s">
        <v>1233</v>
      </c>
    </row>
    <row r="96" spans="1:11">
      <c r="A96" t="s">
        <v>317</v>
      </c>
      <c r="B96" t="s">
        <v>1306</v>
      </c>
      <c r="C96" t="s">
        <v>1307</v>
      </c>
      <c r="D96" t="s">
        <v>1130</v>
      </c>
      <c r="E96" t="s">
        <v>318</v>
      </c>
      <c r="F96">
        <v>0</v>
      </c>
      <c r="H96" t="s">
        <v>1131</v>
      </c>
      <c r="I96" t="s">
        <v>1132</v>
      </c>
      <c r="J96" t="s">
        <v>1232</v>
      </c>
      <c r="K96" t="s">
        <v>1233</v>
      </c>
    </row>
    <row r="97" spans="1:28">
      <c r="A97" t="s">
        <v>861</v>
      </c>
      <c r="B97" t="s">
        <v>1207</v>
      </c>
      <c r="C97" t="s">
        <v>862</v>
      </c>
      <c r="D97" t="s">
        <v>1130</v>
      </c>
      <c r="E97" t="s">
        <v>859</v>
      </c>
      <c r="F97">
        <v>0</v>
      </c>
      <c r="G97">
        <v>0.5</v>
      </c>
      <c r="H97" t="s">
        <v>1131</v>
      </c>
      <c r="I97" t="s">
        <v>1132</v>
      </c>
      <c r="J97" t="s">
        <v>1232</v>
      </c>
      <c r="K97" t="s">
        <v>1233</v>
      </c>
      <c r="L97" t="s">
        <v>862</v>
      </c>
    </row>
    <row r="98" spans="1:28">
      <c r="A98" t="s">
        <v>863</v>
      </c>
      <c r="B98" t="s">
        <v>1308</v>
      </c>
      <c r="C98" t="s">
        <v>864</v>
      </c>
      <c r="D98" t="s">
        <v>1149</v>
      </c>
      <c r="H98" t="s">
        <v>1131</v>
      </c>
      <c r="I98" t="s">
        <v>1132</v>
      </c>
      <c r="J98" t="s">
        <v>1232</v>
      </c>
      <c r="K98" t="s">
        <v>1233</v>
      </c>
    </row>
    <row r="99" spans="1:28">
      <c r="A99" t="s">
        <v>967</v>
      </c>
      <c r="B99" t="s">
        <v>1309</v>
      </c>
      <c r="C99" t="s">
        <v>968</v>
      </c>
      <c r="D99" t="s">
        <v>1149</v>
      </c>
      <c r="H99" t="s">
        <v>1131</v>
      </c>
      <c r="I99" t="s">
        <v>1132</v>
      </c>
      <c r="J99" t="s">
        <v>1232</v>
      </c>
      <c r="K99" t="s">
        <v>1233</v>
      </c>
    </row>
    <row r="100" spans="1:28">
      <c r="A100" t="s">
        <v>403</v>
      </c>
      <c r="B100" t="s">
        <v>1152</v>
      </c>
      <c r="C100" t="s">
        <v>405</v>
      </c>
      <c r="D100" t="s">
        <v>1130</v>
      </c>
      <c r="E100" t="s">
        <v>400</v>
      </c>
      <c r="F100">
        <v>0</v>
      </c>
      <c r="H100" t="s">
        <v>1131</v>
      </c>
      <c r="I100" t="s">
        <v>1132</v>
      </c>
      <c r="J100" t="s">
        <v>1310</v>
      </c>
      <c r="K100" t="s">
        <v>1311</v>
      </c>
    </row>
    <row r="101" spans="1:28">
      <c r="A101" t="s">
        <v>463</v>
      </c>
      <c r="B101" t="s">
        <v>1151</v>
      </c>
      <c r="C101" t="s">
        <v>1312</v>
      </c>
      <c r="D101" t="s">
        <v>1130</v>
      </c>
      <c r="E101" t="s">
        <v>181</v>
      </c>
      <c r="F101">
        <v>0</v>
      </c>
      <c r="H101" t="s">
        <v>1131</v>
      </c>
      <c r="I101" t="s">
        <v>1132</v>
      </c>
      <c r="J101" t="s">
        <v>1310</v>
      </c>
      <c r="K101" t="s">
        <v>1311</v>
      </c>
    </row>
    <row r="102" spans="1:28">
      <c r="A102" t="s">
        <v>519</v>
      </c>
      <c r="B102" t="s">
        <v>1153</v>
      </c>
      <c r="C102" t="s">
        <v>1313</v>
      </c>
      <c r="D102" t="s">
        <v>1130</v>
      </c>
      <c r="E102" t="s">
        <v>262</v>
      </c>
      <c r="F102">
        <v>0</v>
      </c>
      <c r="H102" t="s">
        <v>1131</v>
      </c>
      <c r="I102" t="s">
        <v>1132</v>
      </c>
      <c r="J102" t="s">
        <v>1310</v>
      </c>
      <c r="K102" t="s">
        <v>1311</v>
      </c>
    </row>
    <row r="103" spans="1:28">
      <c r="A103" t="s">
        <v>858</v>
      </c>
      <c r="B103" t="s">
        <v>1150</v>
      </c>
      <c r="C103" t="s">
        <v>1314</v>
      </c>
      <c r="D103" t="s">
        <v>1130</v>
      </c>
      <c r="E103" t="s">
        <v>859</v>
      </c>
      <c r="F103">
        <v>0</v>
      </c>
      <c r="G103">
        <v>0.5</v>
      </c>
      <c r="H103" t="s">
        <v>1131</v>
      </c>
      <c r="I103" t="s">
        <v>1132</v>
      </c>
      <c r="J103" t="s">
        <v>1310</v>
      </c>
      <c r="K103" t="s">
        <v>1311</v>
      </c>
    </row>
    <row r="104" spans="1:28">
      <c r="A104" t="s">
        <v>766</v>
      </c>
      <c r="B104" t="s">
        <v>1315</v>
      </c>
      <c r="C104" t="s">
        <v>1316</v>
      </c>
      <c r="D104" t="s">
        <v>1149</v>
      </c>
      <c r="E104" t="s">
        <v>771</v>
      </c>
      <c r="F104" t="s">
        <v>1168</v>
      </c>
      <c r="J104" t="s">
        <v>1159</v>
      </c>
      <c r="K104" t="s">
        <v>1317</v>
      </c>
      <c r="M104" t="s">
        <v>1318</v>
      </c>
      <c r="N104" t="s">
        <v>1319</v>
      </c>
      <c r="O104" t="s">
        <v>1320</v>
      </c>
      <c r="P104" t="s">
        <v>1321</v>
      </c>
      <c r="Q104" t="s">
        <v>1322</v>
      </c>
      <c r="S104" t="s">
        <v>1159</v>
      </c>
      <c r="U104" t="s">
        <v>772</v>
      </c>
      <c r="V104" t="s">
        <v>1177</v>
      </c>
      <c r="W104" t="s">
        <v>1178</v>
      </c>
      <c r="AA104">
        <v>0</v>
      </c>
      <c r="AB104" t="s">
        <v>1158</v>
      </c>
    </row>
    <row r="105" spans="1:28">
      <c r="A105" t="s">
        <v>1023</v>
      </c>
      <c r="B105" t="s">
        <v>1323</v>
      </c>
      <c r="C105" t="s">
        <v>1324</v>
      </c>
      <c r="D105" t="s">
        <v>1149</v>
      </c>
      <c r="E105" t="s">
        <v>1026</v>
      </c>
      <c r="F105" t="s">
        <v>1168</v>
      </c>
      <c r="J105" t="s">
        <v>1159</v>
      </c>
      <c r="K105" t="s">
        <v>1317</v>
      </c>
      <c r="M105" t="s">
        <v>1182</v>
      </c>
      <c r="N105" t="s">
        <v>1325</v>
      </c>
      <c r="O105" t="s">
        <v>1320</v>
      </c>
      <c r="P105" t="s">
        <v>1326</v>
      </c>
      <c r="Q105" t="s">
        <v>1327</v>
      </c>
      <c r="S105" t="s">
        <v>1159</v>
      </c>
      <c r="U105" t="s">
        <v>1027</v>
      </c>
      <c r="V105" t="s">
        <v>1177</v>
      </c>
      <c r="W105" t="s">
        <v>1178</v>
      </c>
      <c r="AA105">
        <v>0</v>
      </c>
      <c r="AB105" t="s">
        <v>1158</v>
      </c>
    </row>
    <row r="106" spans="1:28">
      <c r="A106" t="s">
        <v>460</v>
      </c>
      <c r="B106" t="s">
        <v>255</v>
      </c>
      <c r="C106" t="s">
        <v>462</v>
      </c>
      <c r="D106" t="s">
        <v>1149</v>
      </c>
      <c r="E106" t="s">
        <v>461</v>
      </c>
      <c r="F106" t="s">
        <v>1156</v>
      </c>
      <c r="J106" t="s">
        <v>1159</v>
      </c>
      <c r="K106" t="s">
        <v>1328</v>
      </c>
      <c r="M106" t="s">
        <v>1161</v>
      </c>
      <c r="N106" t="s">
        <v>1162</v>
      </c>
      <c r="O106" t="s">
        <v>1163</v>
      </c>
      <c r="P106" t="s">
        <v>1164</v>
      </c>
      <c r="S106" t="s">
        <v>1159</v>
      </c>
      <c r="AA106" t="s">
        <v>1329</v>
      </c>
      <c r="AB106" t="s">
        <v>1158</v>
      </c>
    </row>
    <row r="107" spans="1:28">
      <c r="A107" t="s">
        <v>501</v>
      </c>
      <c r="B107" t="s">
        <v>258</v>
      </c>
      <c r="C107" t="s">
        <v>502</v>
      </c>
      <c r="D107" t="s">
        <v>1149</v>
      </c>
      <c r="E107" t="s">
        <v>461</v>
      </c>
      <c r="F107" t="s">
        <v>1156</v>
      </c>
      <c r="J107" t="s">
        <v>1159</v>
      </c>
      <c r="K107" t="s">
        <v>1328</v>
      </c>
      <c r="M107" t="s">
        <v>1330</v>
      </c>
      <c r="N107" t="s">
        <v>1162</v>
      </c>
      <c r="O107" t="s">
        <v>1163</v>
      </c>
      <c r="P107" t="s">
        <v>1167</v>
      </c>
      <c r="S107" t="s">
        <v>1159</v>
      </c>
      <c r="AA107" t="s">
        <v>1329</v>
      </c>
      <c r="AB107" t="s">
        <v>1158</v>
      </c>
    </row>
    <row r="108" spans="1:28">
      <c r="A108" t="s">
        <v>349</v>
      </c>
      <c r="B108" t="s">
        <v>260</v>
      </c>
      <c r="C108" t="s">
        <v>351</v>
      </c>
      <c r="D108" t="s">
        <v>1130</v>
      </c>
      <c r="E108" t="s">
        <v>350</v>
      </c>
      <c r="F108" t="s">
        <v>1168</v>
      </c>
      <c r="J108" t="s">
        <v>1159</v>
      </c>
      <c r="K108" t="s">
        <v>1328</v>
      </c>
      <c r="M108" t="s">
        <v>1169</v>
      </c>
      <c r="N108" t="s">
        <v>1170</v>
      </c>
      <c r="O108" t="s">
        <v>1171</v>
      </c>
      <c r="P108" t="s">
        <v>349</v>
      </c>
      <c r="Q108" t="s">
        <v>1172</v>
      </c>
      <c r="S108" t="s">
        <v>1159</v>
      </c>
      <c r="AA108" t="s">
        <v>1329</v>
      </c>
      <c r="AB108" t="s">
        <v>1158</v>
      </c>
    </row>
    <row r="109" spans="1:28">
      <c r="A109" t="s">
        <v>397</v>
      </c>
      <c r="B109" t="s">
        <v>263</v>
      </c>
      <c r="C109" t="s">
        <v>398</v>
      </c>
      <c r="D109" t="s">
        <v>1130</v>
      </c>
      <c r="E109" t="s">
        <v>273</v>
      </c>
      <c r="F109" t="s">
        <v>1168</v>
      </c>
      <c r="J109" t="s">
        <v>1159</v>
      </c>
      <c r="K109" t="s">
        <v>1328</v>
      </c>
      <c r="M109" t="s">
        <v>1169</v>
      </c>
      <c r="N109" t="s">
        <v>1173</v>
      </c>
      <c r="O109" t="s">
        <v>1174</v>
      </c>
      <c r="P109" t="s">
        <v>1175</v>
      </c>
      <c r="Q109" t="s">
        <v>1176</v>
      </c>
      <c r="S109" t="s">
        <v>1159</v>
      </c>
      <c r="AA109" t="s">
        <v>1329</v>
      </c>
      <c r="AB109" t="s">
        <v>1158</v>
      </c>
    </row>
    <row r="110" spans="1:28">
      <c r="A110" t="s">
        <v>658</v>
      </c>
      <c r="B110" t="s">
        <v>266</v>
      </c>
      <c r="C110" t="s">
        <v>660</v>
      </c>
      <c r="D110" t="s">
        <v>1130</v>
      </c>
      <c r="E110" t="s">
        <v>659</v>
      </c>
      <c r="F110" t="s">
        <v>1168</v>
      </c>
      <c r="J110" t="s">
        <v>1159</v>
      </c>
      <c r="K110" t="s">
        <v>1328</v>
      </c>
      <c r="M110" t="s">
        <v>1169</v>
      </c>
      <c r="N110" t="s">
        <v>1179</v>
      </c>
      <c r="O110" t="s">
        <v>1174</v>
      </c>
      <c r="P110" t="s">
        <v>1180</v>
      </c>
      <c r="S110" t="s">
        <v>1159</v>
      </c>
      <c r="AA110" t="s">
        <v>1329</v>
      </c>
      <c r="AB110" t="s">
        <v>1158</v>
      </c>
    </row>
    <row r="111" spans="1:28">
      <c r="A111" t="s">
        <v>1023</v>
      </c>
      <c r="B111" t="s">
        <v>1323</v>
      </c>
      <c r="C111" t="s">
        <v>1025</v>
      </c>
      <c r="D111" t="s">
        <v>1149</v>
      </c>
      <c r="E111" t="s">
        <v>1026</v>
      </c>
      <c r="F111" t="s">
        <v>1168</v>
      </c>
      <c r="J111" t="s">
        <v>1159</v>
      </c>
      <c r="K111" t="s">
        <v>1328</v>
      </c>
      <c r="M111" t="s">
        <v>1182</v>
      </c>
      <c r="N111" t="s">
        <v>1325</v>
      </c>
      <c r="O111" t="s">
        <v>1320</v>
      </c>
      <c r="P111" t="s">
        <v>1326</v>
      </c>
      <c r="Q111" t="s">
        <v>1327</v>
      </c>
      <c r="S111" t="s">
        <v>1159</v>
      </c>
      <c r="AA111">
        <v>0</v>
      </c>
      <c r="AB111" t="s">
        <v>1158</v>
      </c>
    </row>
    <row r="112" spans="1:28">
      <c r="A112" t="s">
        <v>766</v>
      </c>
      <c r="B112" t="s">
        <v>1315</v>
      </c>
      <c r="C112" t="s">
        <v>768</v>
      </c>
      <c r="D112" t="s">
        <v>1149</v>
      </c>
      <c r="E112" t="s">
        <v>771</v>
      </c>
      <c r="F112" t="s">
        <v>1168</v>
      </c>
      <c r="J112" t="s">
        <v>1159</v>
      </c>
      <c r="K112" t="s">
        <v>1328</v>
      </c>
      <c r="M112" t="s">
        <v>1318</v>
      </c>
      <c r="N112" t="s">
        <v>1319</v>
      </c>
      <c r="O112" t="s">
        <v>1320</v>
      </c>
      <c r="P112" t="s">
        <v>1321</v>
      </c>
      <c r="Q112" t="s">
        <v>1322</v>
      </c>
      <c r="S112" t="s">
        <v>1159</v>
      </c>
      <c r="AA112">
        <v>0</v>
      </c>
      <c r="AB112" t="s">
        <v>1158</v>
      </c>
    </row>
    <row r="113" spans="1:28">
      <c r="A113" t="s">
        <v>1190</v>
      </c>
      <c r="B113" t="s">
        <v>274</v>
      </c>
      <c r="C113" t="s">
        <v>1191</v>
      </c>
      <c r="D113" t="s">
        <v>1149</v>
      </c>
      <c r="E113" t="s">
        <v>1192</v>
      </c>
      <c r="F113" t="s">
        <v>1168</v>
      </c>
      <c r="J113" t="s">
        <v>1159</v>
      </c>
      <c r="K113" t="s">
        <v>1328</v>
      </c>
      <c r="N113" t="s">
        <v>1194</v>
      </c>
      <c r="O113" t="s">
        <v>1195</v>
      </c>
      <c r="Q113" t="s">
        <v>1196</v>
      </c>
      <c r="R113" t="s">
        <v>1165</v>
      </c>
      <c r="S113" t="s">
        <v>1159</v>
      </c>
      <c r="X113" t="s">
        <v>1197</v>
      </c>
      <c r="Y113" t="s">
        <v>1198</v>
      </c>
      <c r="Z113" t="s">
        <v>1199</v>
      </c>
      <c r="AB113" t="s">
        <v>1193</v>
      </c>
    </row>
    <row r="114" spans="1:28">
      <c r="A114" t="s">
        <v>1200</v>
      </c>
      <c r="B114" t="s">
        <v>277</v>
      </c>
      <c r="C114" t="s">
        <v>1201</v>
      </c>
      <c r="D114" t="s">
        <v>1149</v>
      </c>
      <c r="E114" t="s">
        <v>1331</v>
      </c>
      <c r="F114" t="s">
        <v>1156</v>
      </c>
      <c r="J114" t="s">
        <v>1159</v>
      </c>
      <c r="K114" t="s">
        <v>1328</v>
      </c>
      <c r="N114" t="s">
        <v>1332</v>
      </c>
      <c r="O114" t="s">
        <v>1204</v>
      </c>
      <c r="Q114" t="s">
        <v>1205</v>
      </c>
      <c r="R114" t="s">
        <v>1165</v>
      </c>
      <c r="S114" t="s">
        <v>1159</v>
      </c>
      <c r="X114" t="s">
        <v>1206</v>
      </c>
      <c r="Y114" t="s">
        <v>274</v>
      </c>
      <c r="Z114" t="s">
        <v>1190</v>
      </c>
      <c r="AB114" t="s">
        <v>1193</v>
      </c>
    </row>
    <row r="115" spans="1:28">
      <c r="A115" t="s">
        <v>766</v>
      </c>
      <c r="B115" t="s">
        <v>1315</v>
      </c>
      <c r="C115" t="s">
        <v>845</v>
      </c>
      <c r="D115" t="s">
        <v>1149</v>
      </c>
      <c r="E115" t="s">
        <v>771</v>
      </c>
      <c r="F115" t="s">
        <v>1168</v>
      </c>
      <c r="J115" t="s">
        <v>1333</v>
      </c>
      <c r="K115" t="s">
        <v>1334</v>
      </c>
      <c r="M115" t="s">
        <v>1318</v>
      </c>
      <c r="N115" t="s">
        <v>1319</v>
      </c>
      <c r="O115" t="s">
        <v>1320</v>
      </c>
      <c r="P115" t="s">
        <v>1321</v>
      </c>
      <c r="Q115" t="s">
        <v>1322</v>
      </c>
      <c r="S115" t="s">
        <v>1159</v>
      </c>
      <c r="U115" t="s">
        <v>772</v>
      </c>
      <c r="V115" t="s">
        <v>1177</v>
      </c>
      <c r="W115" t="s">
        <v>1178</v>
      </c>
      <c r="AA115">
        <v>0</v>
      </c>
      <c r="AB115" t="s">
        <v>1158</v>
      </c>
    </row>
    <row r="116" spans="1:28">
      <c r="A116" t="s">
        <v>1023</v>
      </c>
      <c r="B116" t="s">
        <v>1323</v>
      </c>
      <c r="C116" t="s">
        <v>1335</v>
      </c>
      <c r="D116" t="s">
        <v>1149</v>
      </c>
      <c r="E116" t="s">
        <v>1026</v>
      </c>
      <c r="F116" t="s">
        <v>1168</v>
      </c>
      <c r="J116" t="s">
        <v>1333</v>
      </c>
      <c r="K116" t="s">
        <v>1334</v>
      </c>
      <c r="M116" t="s">
        <v>1182</v>
      </c>
      <c r="N116" t="s">
        <v>1325</v>
      </c>
      <c r="O116" t="s">
        <v>1320</v>
      </c>
      <c r="P116" t="s">
        <v>1326</v>
      </c>
      <c r="Q116" t="s">
        <v>1327</v>
      </c>
      <c r="S116" t="s">
        <v>1159</v>
      </c>
      <c r="U116" t="s">
        <v>1027</v>
      </c>
      <c r="V116" t="s">
        <v>1177</v>
      </c>
      <c r="W116" t="s">
        <v>1178</v>
      </c>
      <c r="AA116">
        <v>0</v>
      </c>
      <c r="AB116" t="s">
        <v>1158</v>
      </c>
    </row>
    <row r="117" spans="1:28">
      <c r="A117" t="s">
        <v>766</v>
      </c>
      <c r="B117" t="s">
        <v>1315</v>
      </c>
      <c r="C117" t="s">
        <v>772</v>
      </c>
      <c r="D117" t="s">
        <v>1149</v>
      </c>
      <c r="E117" t="s">
        <v>771</v>
      </c>
      <c r="F117" t="s">
        <v>1168</v>
      </c>
      <c r="J117" t="s">
        <v>1336</v>
      </c>
      <c r="K117" t="s">
        <v>1337</v>
      </c>
      <c r="M117" t="s">
        <v>1318</v>
      </c>
      <c r="N117" t="s">
        <v>1319</v>
      </c>
      <c r="O117" t="s">
        <v>1320</v>
      </c>
      <c r="P117" t="s">
        <v>1321</v>
      </c>
      <c r="Q117" t="s">
        <v>1322</v>
      </c>
      <c r="S117" t="s">
        <v>1159</v>
      </c>
      <c r="AA117">
        <v>0</v>
      </c>
      <c r="AB117" t="s">
        <v>1158</v>
      </c>
    </row>
    <row r="118" spans="1:28">
      <c r="A118" t="s">
        <v>1023</v>
      </c>
      <c r="B118" t="s">
        <v>1323</v>
      </c>
      <c r="C118" t="s">
        <v>1027</v>
      </c>
      <c r="D118" t="s">
        <v>1149</v>
      </c>
      <c r="E118" t="s">
        <v>1026</v>
      </c>
      <c r="F118" t="s">
        <v>1168</v>
      </c>
      <c r="J118" t="s">
        <v>1336</v>
      </c>
      <c r="K118" t="s">
        <v>1337</v>
      </c>
      <c r="M118" t="s">
        <v>1182</v>
      </c>
      <c r="N118" t="s">
        <v>1325</v>
      </c>
      <c r="O118" t="s">
        <v>1320</v>
      </c>
      <c r="P118" t="s">
        <v>1326</v>
      </c>
      <c r="Q118" t="s">
        <v>1327</v>
      </c>
      <c r="S118" t="s">
        <v>1159</v>
      </c>
      <c r="AA118">
        <v>0</v>
      </c>
      <c r="AB118" t="s">
        <v>1158</v>
      </c>
    </row>
    <row r="119" spans="1:28">
      <c r="A119" t="s">
        <v>196</v>
      </c>
      <c r="B119" t="s">
        <v>268</v>
      </c>
      <c r="C119" t="s">
        <v>198</v>
      </c>
      <c r="D119" t="s">
        <v>1149</v>
      </c>
      <c r="E119" t="s">
        <v>197</v>
      </c>
      <c r="H119" t="s">
        <v>1338</v>
      </c>
      <c r="I119" t="s">
        <v>1339</v>
      </c>
      <c r="J119" t="s">
        <v>1340</v>
      </c>
      <c r="K119" t="s">
        <v>1341</v>
      </c>
      <c r="M119" t="s">
        <v>1342</v>
      </c>
      <c r="N119" t="s">
        <v>1343</v>
      </c>
      <c r="O119" t="s">
        <v>1174</v>
      </c>
      <c r="P119" t="s">
        <v>1344</v>
      </c>
      <c r="Q119" t="s">
        <v>1345</v>
      </c>
      <c r="S119" t="s">
        <v>1346</v>
      </c>
    </row>
    <row r="120" spans="1:28">
      <c r="A120" t="s">
        <v>199</v>
      </c>
      <c r="B120" t="s">
        <v>274</v>
      </c>
      <c r="C120" t="s">
        <v>201</v>
      </c>
      <c r="D120" t="s">
        <v>1130</v>
      </c>
      <c r="E120" t="s">
        <v>200</v>
      </c>
      <c r="H120" t="s">
        <v>1338</v>
      </c>
      <c r="I120" t="s">
        <v>1339</v>
      </c>
      <c r="J120" t="s">
        <v>1340</v>
      </c>
      <c r="K120" t="s">
        <v>1341</v>
      </c>
      <c r="M120" t="s">
        <v>1342</v>
      </c>
      <c r="N120" t="s">
        <v>1347</v>
      </c>
      <c r="O120" t="s">
        <v>1174</v>
      </c>
      <c r="P120" t="s">
        <v>1348</v>
      </c>
      <c r="Q120" t="s">
        <v>1349</v>
      </c>
      <c r="S120" t="s">
        <v>1350</v>
      </c>
    </row>
    <row r="121" spans="1:28">
      <c r="A121" t="s">
        <v>1351</v>
      </c>
      <c r="B121" t="s">
        <v>277</v>
      </c>
      <c r="C121" t="s">
        <v>1352</v>
      </c>
      <c r="D121" t="s">
        <v>1130</v>
      </c>
      <c r="E121" t="s">
        <v>273</v>
      </c>
      <c r="H121" t="s">
        <v>1338</v>
      </c>
      <c r="I121" t="s">
        <v>1339</v>
      </c>
      <c r="J121" t="s">
        <v>1340</v>
      </c>
      <c r="K121" t="s">
        <v>1341</v>
      </c>
      <c r="M121" t="s">
        <v>1342</v>
      </c>
      <c r="N121" t="s">
        <v>1353</v>
      </c>
      <c r="O121" t="s">
        <v>1174</v>
      </c>
      <c r="P121" t="s">
        <v>1348</v>
      </c>
      <c r="Q121" t="s">
        <v>1354</v>
      </c>
      <c r="S121" t="s">
        <v>1350</v>
      </c>
    </row>
    <row r="122" spans="1:28">
      <c r="A122" t="s">
        <v>202</v>
      </c>
      <c r="B122" t="s">
        <v>258</v>
      </c>
      <c r="C122" t="s">
        <v>204</v>
      </c>
      <c r="D122" t="s">
        <v>1149</v>
      </c>
      <c r="E122" t="s">
        <v>203</v>
      </c>
      <c r="H122" t="s">
        <v>1338</v>
      </c>
      <c r="I122" t="s">
        <v>1339</v>
      </c>
      <c r="J122" t="s">
        <v>1340</v>
      </c>
      <c r="K122" t="s">
        <v>1341</v>
      </c>
      <c r="M122" t="s">
        <v>1342</v>
      </c>
      <c r="N122" t="s">
        <v>1355</v>
      </c>
      <c r="O122" t="s">
        <v>1174</v>
      </c>
      <c r="P122" t="s">
        <v>1356</v>
      </c>
      <c r="Q122" t="s">
        <v>1357</v>
      </c>
      <c r="S122" t="s">
        <v>1358</v>
      </c>
    </row>
    <row r="123" spans="1:28">
      <c r="A123" t="s">
        <v>1359</v>
      </c>
      <c r="B123" t="s">
        <v>294</v>
      </c>
      <c r="C123" t="s">
        <v>1360</v>
      </c>
      <c r="D123" t="s">
        <v>1149</v>
      </c>
      <c r="E123" t="s">
        <v>265</v>
      </c>
      <c r="H123" t="s">
        <v>1338</v>
      </c>
      <c r="I123" t="s">
        <v>1339</v>
      </c>
      <c r="J123" t="s">
        <v>1340</v>
      </c>
      <c r="K123" t="s">
        <v>1341</v>
      </c>
      <c r="M123" t="s">
        <v>1342</v>
      </c>
      <c r="N123" t="s">
        <v>1361</v>
      </c>
      <c r="O123" t="s">
        <v>1174</v>
      </c>
      <c r="P123" t="s">
        <v>1356</v>
      </c>
      <c r="Q123" t="s">
        <v>1362</v>
      </c>
      <c r="S123" t="s">
        <v>1363</v>
      </c>
    </row>
    <row r="124" spans="1:28">
      <c r="A124" t="s">
        <v>154</v>
      </c>
      <c r="B124" t="s">
        <v>271</v>
      </c>
      <c r="C124" t="s">
        <v>156</v>
      </c>
      <c r="D124" t="s">
        <v>1149</v>
      </c>
      <c r="E124" t="s">
        <v>155</v>
      </c>
      <c r="H124" t="s">
        <v>1338</v>
      </c>
      <c r="I124" t="s">
        <v>1339</v>
      </c>
      <c r="J124" t="s">
        <v>1340</v>
      </c>
      <c r="K124" t="s">
        <v>1341</v>
      </c>
      <c r="M124" t="s">
        <v>1342</v>
      </c>
      <c r="N124" t="s">
        <v>1364</v>
      </c>
      <c r="O124" t="s">
        <v>1174</v>
      </c>
      <c r="P124" t="s">
        <v>1365</v>
      </c>
      <c r="Q124" t="s">
        <v>1366</v>
      </c>
      <c r="S124" t="s">
        <v>1346</v>
      </c>
    </row>
    <row r="125" spans="1:28">
      <c r="A125" t="s">
        <v>157</v>
      </c>
      <c r="B125" t="s">
        <v>266</v>
      </c>
      <c r="C125" t="s">
        <v>159</v>
      </c>
      <c r="D125" t="s">
        <v>1149</v>
      </c>
      <c r="E125" t="s">
        <v>158</v>
      </c>
      <c r="H125" t="s">
        <v>1338</v>
      </c>
      <c r="I125" t="s">
        <v>1339</v>
      </c>
      <c r="J125" t="s">
        <v>1340</v>
      </c>
      <c r="K125" t="s">
        <v>1341</v>
      </c>
      <c r="M125" t="s">
        <v>1342</v>
      </c>
      <c r="N125" t="s">
        <v>1367</v>
      </c>
      <c r="O125" t="s">
        <v>1174</v>
      </c>
      <c r="P125" t="s">
        <v>1368</v>
      </c>
      <c r="Q125" t="s">
        <v>1369</v>
      </c>
      <c r="S125" t="s">
        <v>1363</v>
      </c>
    </row>
    <row r="126" spans="1:28">
      <c r="A126" t="s">
        <v>160</v>
      </c>
      <c r="B126" t="s">
        <v>266</v>
      </c>
      <c r="C126" t="s">
        <v>162</v>
      </c>
      <c r="D126" t="s">
        <v>1149</v>
      </c>
      <c r="E126" t="s">
        <v>161</v>
      </c>
      <c r="H126" t="s">
        <v>1338</v>
      </c>
      <c r="I126" t="s">
        <v>1339</v>
      </c>
      <c r="J126" t="s">
        <v>1340</v>
      </c>
      <c r="K126" t="s">
        <v>1341</v>
      </c>
      <c r="M126" t="s">
        <v>1342</v>
      </c>
      <c r="N126" t="s">
        <v>1370</v>
      </c>
      <c r="O126" t="s">
        <v>1174</v>
      </c>
      <c r="P126" t="s">
        <v>1370</v>
      </c>
      <c r="Q126" t="s">
        <v>1371</v>
      </c>
      <c r="S126" t="s">
        <v>1372</v>
      </c>
    </row>
    <row r="127" spans="1:28">
      <c r="A127" t="s">
        <v>163</v>
      </c>
      <c r="B127" t="s">
        <v>271</v>
      </c>
      <c r="C127" t="s">
        <v>165</v>
      </c>
      <c r="D127" t="s">
        <v>1149</v>
      </c>
      <c r="E127" t="s">
        <v>164</v>
      </c>
      <c r="H127" t="s">
        <v>1338</v>
      </c>
      <c r="I127" t="s">
        <v>1339</v>
      </c>
      <c r="J127" t="s">
        <v>1340</v>
      </c>
      <c r="K127" t="s">
        <v>1341</v>
      </c>
      <c r="M127" t="s">
        <v>1342</v>
      </c>
      <c r="N127" t="s">
        <v>1373</v>
      </c>
      <c r="O127" t="s">
        <v>1174</v>
      </c>
      <c r="P127" t="s">
        <v>1374</v>
      </c>
      <c r="Q127" t="s">
        <v>1375</v>
      </c>
      <c r="S127" t="s">
        <v>1376</v>
      </c>
    </row>
    <row r="128" spans="1:28">
      <c r="A128" t="s">
        <v>1377</v>
      </c>
      <c r="B128" t="s">
        <v>255</v>
      </c>
      <c r="C128" t="s">
        <v>1378</v>
      </c>
      <c r="D128" t="s">
        <v>1149</v>
      </c>
      <c r="E128" t="s">
        <v>248</v>
      </c>
      <c r="H128" t="s">
        <v>1338</v>
      </c>
      <c r="I128" t="s">
        <v>1339</v>
      </c>
      <c r="J128" t="s">
        <v>1340</v>
      </c>
      <c r="K128" t="s">
        <v>1341</v>
      </c>
      <c r="M128" t="s">
        <v>1342</v>
      </c>
      <c r="N128" t="s">
        <v>1379</v>
      </c>
      <c r="O128" t="s">
        <v>1174</v>
      </c>
      <c r="P128" t="s">
        <v>1368</v>
      </c>
      <c r="Q128" t="s">
        <v>1380</v>
      </c>
      <c r="S128" t="s">
        <v>1358</v>
      </c>
    </row>
    <row r="129" spans="1:27">
      <c r="A129" t="s">
        <v>166</v>
      </c>
      <c r="B129" t="s">
        <v>280</v>
      </c>
      <c r="C129" t="s">
        <v>168</v>
      </c>
      <c r="D129" t="s">
        <v>1149</v>
      </c>
      <c r="E129" t="s">
        <v>167</v>
      </c>
      <c r="H129" t="s">
        <v>1338</v>
      </c>
      <c r="I129" t="s">
        <v>1339</v>
      </c>
      <c r="J129" t="s">
        <v>1340</v>
      </c>
      <c r="K129" t="s">
        <v>1341</v>
      </c>
      <c r="M129" t="s">
        <v>1342</v>
      </c>
      <c r="N129" t="s">
        <v>1381</v>
      </c>
      <c r="O129" t="s">
        <v>1174</v>
      </c>
      <c r="P129" t="s">
        <v>1374</v>
      </c>
      <c r="Q129" t="s">
        <v>1382</v>
      </c>
      <c r="S129" t="s">
        <v>1383</v>
      </c>
    </row>
    <row r="130" spans="1:27">
      <c r="A130" t="s">
        <v>172</v>
      </c>
      <c r="B130" t="s">
        <v>274</v>
      </c>
      <c r="C130" t="s">
        <v>173</v>
      </c>
      <c r="D130" t="s">
        <v>1149</v>
      </c>
      <c r="E130" t="s">
        <v>161</v>
      </c>
      <c r="H130" t="s">
        <v>1338</v>
      </c>
      <c r="I130" t="s">
        <v>1339</v>
      </c>
      <c r="J130" t="s">
        <v>1340</v>
      </c>
      <c r="K130" t="s">
        <v>1341</v>
      </c>
      <c r="M130" t="s">
        <v>1330</v>
      </c>
      <c r="N130" t="s">
        <v>1384</v>
      </c>
      <c r="O130" t="s">
        <v>1174</v>
      </c>
      <c r="P130" t="s">
        <v>172</v>
      </c>
      <c r="Q130" t="s">
        <v>1385</v>
      </c>
      <c r="S130" t="s">
        <v>1386</v>
      </c>
      <c r="AA130" t="s">
        <v>1329</v>
      </c>
    </row>
    <row r="131" spans="1:27">
      <c r="A131" t="s">
        <v>1387</v>
      </c>
      <c r="B131" t="s">
        <v>263</v>
      </c>
      <c r="C131" t="s">
        <v>1388</v>
      </c>
      <c r="D131" t="s">
        <v>1149</v>
      </c>
      <c r="E131" t="s">
        <v>1389</v>
      </c>
      <c r="H131" t="s">
        <v>1338</v>
      </c>
      <c r="I131" t="s">
        <v>1339</v>
      </c>
      <c r="J131" t="s">
        <v>1340</v>
      </c>
      <c r="K131" t="s">
        <v>1341</v>
      </c>
      <c r="M131" t="s">
        <v>1330</v>
      </c>
      <c r="N131" t="s">
        <v>1390</v>
      </c>
      <c r="O131" t="s">
        <v>1174</v>
      </c>
      <c r="P131" t="s">
        <v>1391</v>
      </c>
      <c r="Q131" t="s">
        <v>1392</v>
      </c>
      <c r="S131" t="s">
        <v>1393</v>
      </c>
      <c r="AA131" t="s">
        <v>1329</v>
      </c>
    </row>
    <row r="132" spans="1:27">
      <c r="A132" t="s">
        <v>206</v>
      </c>
      <c r="C132" t="s">
        <v>208</v>
      </c>
      <c r="D132" t="s">
        <v>1149</v>
      </c>
      <c r="E132" t="s">
        <v>207</v>
      </c>
      <c r="H132" t="s">
        <v>1338</v>
      </c>
      <c r="I132" t="s">
        <v>1339</v>
      </c>
      <c r="J132" t="s">
        <v>1340</v>
      </c>
      <c r="K132" t="s">
        <v>1341</v>
      </c>
      <c r="O132" t="s">
        <v>1174</v>
      </c>
      <c r="P132" t="s">
        <v>1394</v>
      </c>
      <c r="S132" t="s">
        <v>1395</v>
      </c>
    </row>
    <row r="133" spans="1:27">
      <c r="A133" t="s">
        <v>169</v>
      </c>
      <c r="C133" t="s">
        <v>171</v>
      </c>
      <c r="D133" t="s">
        <v>1130</v>
      </c>
      <c r="E133" t="s">
        <v>170</v>
      </c>
      <c r="H133" t="s">
        <v>1338</v>
      </c>
      <c r="I133" t="s">
        <v>1339</v>
      </c>
      <c r="J133" t="s">
        <v>1340</v>
      </c>
      <c r="K133" t="s">
        <v>1341</v>
      </c>
      <c r="O133" t="s">
        <v>1174</v>
      </c>
      <c r="P133" t="s">
        <v>1396</v>
      </c>
      <c r="S133" t="s">
        <v>1395</v>
      </c>
    </row>
    <row r="134" spans="1:27">
      <c r="A134" t="s">
        <v>209</v>
      </c>
      <c r="C134" t="s">
        <v>210</v>
      </c>
      <c r="D134" t="s">
        <v>1149</v>
      </c>
      <c r="E134" t="s">
        <v>170</v>
      </c>
      <c r="H134" t="s">
        <v>1338</v>
      </c>
      <c r="I134" t="s">
        <v>1339</v>
      </c>
      <c r="J134" t="s">
        <v>1340</v>
      </c>
      <c r="K134" t="s">
        <v>1341</v>
      </c>
      <c r="O134" t="s">
        <v>1174</v>
      </c>
      <c r="P134" t="s">
        <v>1397</v>
      </c>
      <c r="S134" t="s">
        <v>1395</v>
      </c>
    </row>
    <row r="135" spans="1:27">
      <c r="A135" t="s">
        <v>213</v>
      </c>
      <c r="B135" t="s">
        <v>263</v>
      </c>
      <c r="C135" t="s">
        <v>215</v>
      </c>
      <c r="D135" t="s">
        <v>1149</v>
      </c>
      <c r="E135" t="s">
        <v>214</v>
      </c>
      <c r="H135" t="s">
        <v>1338</v>
      </c>
      <c r="I135" t="s">
        <v>1339</v>
      </c>
      <c r="J135" t="s">
        <v>1340</v>
      </c>
      <c r="K135" t="s">
        <v>1341</v>
      </c>
      <c r="M135" t="s">
        <v>1161</v>
      </c>
      <c r="N135" t="s">
        <v>1398</v>
      </c>
      <c r="O135" t="s">
        <v>1174</v>
      </c>
      <c r="P135" t="s">
        <v>1399</v>
      </c>
      <c r="Q135" t="s">
        <v>1400</v>
      </c>
      <c r="S135" t="s">
        <v>1401</v>
      </c>
      <c r="AA135" t="s">
        <v>1329</v>
      </c>
    </row>
    <row r="136" spans="1:27">
      <c r="A136" t="s">
        <v>216</v>
      </c>
      <c r="B136" t="s">
        <v>266</v>
      </c>
      <c r="C136" t="s">
        <v>217</v>
      </c>
      <c r="D136" t="s">
        <v>1149</v>
      </c>
      <c r="E136" t="s">
        <v>214</v>
      </c>
      <c r="H136" t="s">
        <v>1338</v>
      </c>
      <c r="I136" t="s">
        <v>1339</v>
      </c>
      <c r="J136" t="s">
        <v>1340</v>
      </c>
      <c r="K136" t="s">
        <v>1341</v>
      </c>
      <c r="M136" t="s">
        <v>1161</v>
      </c>
      <c r="N136" t="s">
        <v>1402</v>
      </c>
      <c r="O136" t="s">
        <v>1174</v>
      </c>
      <c r="P136" t="s">
        <v>1403</v>
      </c>
      <c r="Q136" t="s">
        <v>1404</v>
      </c>
      <c r="S136" t="s">
        <v>1401</v>
      </c>
      <c r="AA136" t="s">
        <v>1329</v>
      </c>
    </row>
    <row r="137" spans="1:27">
      <c r="A137" t="s">
        <v>218</v>
      </c>
      <c r="B137" t="s">
        <v>258</v>
      </c>
      <c r="C137" t="s">
        <v>219</v>
      </c>
      <c r="D137" t="s">
        <v>1149</v>
      </c>
      <c r="E137" t="s">
        <v>214</v>
      </c>
      <c r="H137" t="s">
        <v>1338</v>
      </c>
      <c r="I137" t="s">
        <v>1339</v>
      </c>
      <c r="J137" t="s">
        <v>1340</v>
      </c>
      <c r="K137" t="s">
        <v>1341</v>
      </c>
      <c r="M137" t="s">
        <v>1161</v>
      </c>
      <c r="N137" t="s">
        <v>1405</v>
      </c>
      <c r="O137" t="s">
        <v>1174</v>
      </c>
      <c r="P137" t="s">
        <v>1406</v>
      </c>
      <c r="Q137" t="s">
        <v>1407</v>
      </c>
      <c r="S137" t="s">
        <v>1372</v>
      </c>
      <c r="AA137" t="s">
        <v>1329</v>
      </c>
    </row>
    <row r="138" spans="1:27">
      <c r="A138" t="s">
        <v>220</v>
      </c>
      <c r="B138" t="s">
        <v>260</v>
      </c>
      <c r="C138" t="s">
        <v>222</v>
      </c>
      <c r="D138" t="s">
        <v>1149</v>
      </c>
      <c r="E138" t="s">
        <v>221</v>
      </c>
      <c r="H138" t="s">
        <v>1338</v>
      </c>
      <c r="I138" t="s">
        <v>1339</v>
      </c>
      <c r="J138" t="s">
        <v>1340</v>
      </c>
      <c r="K138" t="s">
        <v>1341</v>
      </c>
      <c r="M138" t="s">
        <v>1161</v>
      </c>
      <c r="N138" t="s">
        <v>1408</v>
      </c>
      <c r="O138" t="s">
        <v>1409</v>
      </c>
      <c r="P138" t="s">
        <v>1410</v>
      </c>
      <c r="Q138" t="s">
        <v>1411</v>
      </c>
      <c r="S138" t="s">
        <v>1412</v>
      </c>
      <c r="AA138" t="s">
        <v>1329</v>
      </c>
    </row>
    <row r="139" spans="1:27">
      <c r="A139" t="s">
        <v>1413</v>
      </c>
      <c r="B139" t="s">
        <v>266</v>
      </c>
      <c r="C139" t="s">
        <v>1414</v>
      </c>
      <c r="D139" t="s">
        <v>1149</v>
      </c>
      <c r="E139" t="s">
        <v>214</v>
      </c>
      <c r="H139" t="s">
        <v>1338</v>
      </c>
      <c r="I139" t="s">
        <v>1339</v>
      </c>
      <c r="J139" t="s">
        <v>1340</v>
      </c>
      <c r="K139" t="s">
        <v>1341</v>
      </c>
      <c r="M139" t="s">
        <v>1161</v>
      </c>
      <c r="N139" t="s">
        <v>1415</v>
      </c>
      <c r="O139" t="s">
        <v>1409</v>
      </c>
      <c r="P139" t="s">
        <v>1410</v>
      </c>
      <c r="Q139" t="s">
        <v>1416</v>
      </c>
      <c r="S139" t="s">
        <v>1383</v>
      </c>
      <c r="AA139" t="s">
        <v>1329</v>
      </c>
    </row>
    <row r="140" spans="1:27">
      <c r="A140" t="s">
        <v>1417</v>
      </c>
      <c r="B140" t="s">
        <v>266</v>
      </c>
      <c r="C140" t="s">
        <v>1418</v>
      </c>
      <c r="D140" t="s">
        <v>1149</v>
      </c>
      <c r="E140" t="s">
        <v>221</v>
      </c>
      <c r="H140" t="s">
        <v>1338</v>
      </c>
      <c r="I140" t="s">
        <v>1339</v>
      </c>
      <c r="J140" t="s">
        <v>1340</v>
      </c>
      <c r="K140" t="s">
        <v>1341</v>
      </c>
      <c r="M140" t="s">
        <v>1161</v>
      </c>
      <c r="N140" t="s">
        <v>1419</v>
      </c>
      <c r="O140" t="s">
        <v>1409</v>
      </c>
      <c r="P140" t="s">
        <v>1420</v>
      </c>
      <c r="Q140" t="s">
        <v>1421</v>
      </c>
      <c r="S140" t="s">
        <v>1386</v>
      </c>
      <c r="AA140" t="s">
        <v>1329</v>
      </c>
    </row>
    <row r="141" spans="1:27">
      <c r="A141" t="s">
        <v>223</v>
      </c>
      <c r="B141" t="s">
        <v>294</v>
      </c>
      <c r="C141" t="s">
        <v>224</v>
      </c>
      <c r="D141" t="s">
        <v>1149</v>
      </c>
      <c r="E141" t="s">
        <v>221</v>
      </c>
      <c r="H141" t="s">
        <v>1338</v>
      </c>
      <c r="I141" t="s">
        <v>1339</v>
      </c>
      <c r="J141" t="s">
        <v>1340</v>
      </c>
      <c r="K141" t="s">
        <v>1341</v>
      </c>
      <c r="M141" t="s">
        <v>1161</v>
      </c>
      <c r="N141" t="s">
        <v>1422</v>
      </c>
      <c r="O141" t="s">
        <v>1409</v>
      </c>
      <c r="P141" t="s">
        <v>1423</v>
      </c>
      <c r="Q141" t="s">
        <v>1424</v>
      </c>
      <c r="S141" t="s">
        <v>1386</v>
      </c>
      <c r="AA141" t="s">
        <v>1329</v>
      </c>
    </row>
    <row r="142" spans="1:27">
      <c r="A142" t="s">
        <v>225</v>
      </c>
      <c r="B142" t="s">
        <v>260</v>
      </c>
      <c r="C142" t="s">
        <v>227</v>
      </c>
      <c r="D142" t="s">
        <v>1149</v>
      </c>
      <c r="E142" t="s">
        <v>226</v>
      </c>
      <c r="H142" t="s">
        <v>1338</v>
      </c>
      <c r="I142" t="s">
        <v>1339</v>
      </c>
      <c r="J142" t="s">
        <v>1340</v>
      </c>
      <c r="K142" t="s">
        <v>1341</v>
      </c>
      <c r="M142" t="s">
        <v>1161</v>
      </c>
      <c r="N142" t="s">
        <v>1425</v>
      </c>
      <c r="O142" t="s">
        <v>1409</v>
      </c>
      <c r="P142" t="s">
        <v>1426</v>
      </c>
      <c r="S142" t="s">
        <v>1427</v>
      </c>
      <c r="AA142" t="s">
        <v>1329</v>
      </c>
    </row>
    <row r="143" spans="1:27">
      <c r="A143" t="s">
        <v>1428</v>
      </c>
      <c r="B143" t="s">
        <v>255</v>
      </c>
      <c r="C143" t="s">
        <v>1429</v>
      </c>
      <c r="D143" t="s">
        <v>1149</v>
      </c>
      <c r="E143" t="s">
        <v>1430</v>
      </c>
      <c r="H143" t="s">
        <v>1338</v>
      </c>
      <c r="I143" t="s">
        <v>1339</v>
      </c>
      <c r="J143" t="s">
        <v>1340</v>
      </c>
      <c r="K143" t="s">
        <v>1341</v>
      </c>
      <c r="M143" t="s">
        <v>1161</v>
      </c>
      <c r="N143" t="s">
        <v>1431</v>
      </c>
      <c r="O143" t="s">
        <v>1409</v>
      </c>
      <c r="P143" t="s">
        <v>1432</v>
      </c>
      <c r="Q143" t="s">
        <v>1433</v>
      </c>
      <c r="S143" t="s">
        <v>1363</v>
      </c>
      <c r="AA143" t="s">
        <v>1329</v>
      </c>
    </row>
    <row r="144" spans="1:27">
      <c r="A144" t="s">
        <v>1434</v>
      </c>
      <c r="B144" t="s">
        <v>271</v>
      </c>
      <c r="C144" t="s">
        <v>1435</v>
      </c>
      <c r="D144" t="s">
        <v>1149</v>
      </c>
      <c r="E144" t="s">
        <v>1430</v>
      </c>
      <c r="H144" t="s">
        <v>1338</v>
      </c>
      <c r="I144" t="s">
        <v>1339</v>
      </c>
      <c r="J144" t="s">
        <v>1340</v>
      </c>
      <c r="K144" t="s">
        <v>1341</v>
      </c>
      <c r="M144" t="s">
        <v>1161</v>
      </c>
      <c r="N144" t="s">
        <v>1436</v>
      </c>
      <c r="O144" t="s">
        <v>1409</v>
      </c>
      <c r="P144" t="s">
        <v>1437</v>
      </c>
      <c r="Q144" t="s">
        <v>1438</v>
      </c>
      <c r="S144" t="s">
        <v>1439</v>
      </c>
      <c r="AA144" t="s">
        <v>1329</v>
      </c>
    </row>
    <row r="145" spans="1:27">
      <c r="A145" t="s">
        <v>238</v>
      </c>
      <c r="B145" t="s">
        <v>255</v>
      </c>
      <c r="C145" t="s">
        <v>240</v>
      </c>
      <c r="D145" t="s">
        <v>1130</v>
      </c>
      <c r="E145" t="s">
        <v>239</v>
      </c>
      <c r="H145" t="s">
        <v>1338</v>
      </c>
      <c r="I145" t="s">
        <v>1339</v>
      </c>
      <c r="J145" t="s">
        <v>1340</v>
      </c>
      <c r="K145" t="s">
        <v>1341</v>
      </c>
      <c r="M145" t="s">
        <v>1169</v>
      </c>
      <c r="N145" t="s">
        <v>1440</v>
      </c>
      <c r="O145" t="s">
        <v>1174</v>
      </c>
      <c r="P145" t="s">
        <v>1441</v>
      </c>
      <c r="Q145" t="s">
        <v>1442</v>
      </c>
      <c r="S145" t="s">
        <v>1443</v>
      </c>
      <c r="AA145" t="s">
        <v>1329</v>
      </c>
    </row>
    <row r="146" spans="1:27">
      <c r="A146" t="s">
        <v>241</v>
      </c>
      <c r="B146" t="s">
        <v>266</v>
      </c>
      <c r="C146" t="s">
        <v>243</v>
      </c>
      <c r="D146" t="s">
        <v>1130</v>
      </c>
      <c r="E146" t="s">
        <v>242</v>
      </c>
      <c r="H146" t="s">
        <v>1338</v>
      </c>
      <c r="I146" t="s">
        <v>1339</v>
      </c>
      <c r="J146" t="s">
        <v>1340</v>
      </c>
      <c r="K146" t="s">
        <v>1341</v>
      </c>
      <c r="M146" t="s">
        <v>1169</v>
      </c>
      <c r="N146" t="s">
        <v>1444</v>
      </c>
      <c r="O146" t="s">
        <v>1174</v>
      </c>
      <c r="P146" t="s">
        <v>1445</v>
      </c>
      <c r="Q146" t="s">
        <v>1446</v>
      </c>
      <c r="S146" t="s">
        <v>1443</v>
      </c>
      <c r="AA146" t="s">
        <v>1329</v>
      </c>
    </row>
    <row r="147" spans="1:27">
      <c r="A147" t="s">
        <v>244</v>
      </c>
      <c r="B147" t="s">
        <v>263</v>
      </c>
      <c r="C147" t="s">
        <v>246</v>
      </c>
      <c r="D147" t="s">
        <v>1149</v>
      </c>
      <c r="E147" t="s">
        <v>245</v>
      </c>
      <c r="H147" t="s">
        <v>1338</v>
      </c>
      <c r="I147" t="s">
        <v>1339</v>
      </c>
      <c r="J147" t="s">
        <v>1340</v>
      </c>
      <c r="K147" t="s">
        <v>1341</v>
      </c>
      <c r="M147" t="s">
        <v>1169</v>
      </c>
      <c r="N147" t="s">
        <v>1447</v>
      </c>
      <c r="O147" t="s">
        <v>1174</v>
      </c>
      <c r="P147" t="s">
        <v>1448</v>
      </c>
      <c r="Q147" t="s">
        <v>1449</v>
      </c>
      <c r="S147" t="s">
        <v>1450</v>
      </c>
      <c r="AA147" t="s">
        <v>1329</v>
      </c>
    </row>
    <row r="148" spans="1:27">
      <c r="A148" t="s">
        <v>247</v>
      </c>
      <c r="B148" t="s">
        <v>263</v>
      </c>
      <c r="C148" t="s">
        <v>249</v>
      </c>
      <c r="D148" t="s">
        <v>1149</v>
      </c>
      <c r="E148" t="s">
        <v>248</v>
      </c>
      <c r="H148" t="s">
        <v>1338</v>
      </c>
      <c r="I148" t="s">
        <v>1339</v>
      </c>
      <c r="J148" t="s">
        <v>1340</v>
      </c>
      <c r="K148" t="s">
        <v>1341</v>
      </c>
      <c r="M148" t="s">
        <v>1169</v>
      </c>
      <c r="N148" t="s">
        <v>1451</v>
      </c>
      <c r="O148" t="s">
        <v>1174</v>
      </c>
      <c r="P148" t="s">
        <v>1452</v>
      </c>
      <c r="Q148" t="s">
        <v>1453</v>
      </c>
      <c r="S148" t="s">
        <v>1383</v>
      </c>
      <c r="AA148" t="s">
        <v>1329</v>
      </c>
    </row>
    <row r="149" spans="1:27">
      <c r="A149" t="s">
        <v>250</v>
      </c>
      <c r="B149" t="s">
        <v>258</v>
      </c>
      <c r="C149" t="s">
        <v>252</v>
      </c>
      <c r="D149" t="s">
        <v>1149</v>
      </c>
      <c r="E149" t="s">
        <v>251</v>
      </c>
      <c r="H149" t="s">
        <v>1338</v>
      </c>
      <c r="I149" t="s">
        <v>1339</v>
      </c>
      <c r="J149" t="s">
        <v>1340</v>
      </c>
      <c r="K149" t="s">
        <v>1341</v>
      </c>
      <c r="M149" t="s">
        <v>1169</v>
      </c>
      <c r="N149" t="s">
        <v>1454</v>
      </c>
      <c r="O149" t="s">
        <v>1174</v>
      </c>
      <c r="P149" t="s">
        <v>1455</v>
      </c>
      <c r="Q149" t="s">
        <v>1456</v>
      </c>
      <c r="S149" t="s">
        <v>1393</v>
      </c>
      <c r="AA149" t="s">
        <v>1329</v>
      </c>
    </row>
    <row r="150" spans="1:27">
      <c r="A150" t="s">
        <v>1457</v>
      </c>
      <c r="B150" t="s">
        <v>260</v>
      </c>
      <c r="C150" t="s">
        <v>1458</v>
      </c>
      <c r="D150" t="s">
        <v>1149</v>
      </c>
      <c r="E150" t="s">
        <v>1459</v>
      </c>
      <c r="H150" t="s">
        <v>1338</v>
      </c>
      <c r="I150" t="s">
        <v>1339</v>
      </c>
      <c r="J150" t="s">
        <v>1340</v>
      </c>
      <c r="K150" t="s">
        <v>1341</v>
      </c>
      <c r="M150" t="s">
        <v>1169</v>
      </c>
      <c r="N150" t="s">
        <v>1460</v>
      </c>
      <c r="O150" t="s">
        <v>1174</v>
      </c>
      <c r="P150" t="s">
        <v>1461</v>
      </c>
      <c r="Q150" t="s">
        <v>1462</v>
      </c>
      <c r="S150" t="s">
        <v>1463</v>
      </c>
      <c r="AA150" t="s">
        <v>1329</v>
      </c>
    </row>
    <row r="151" spans="1:27">
      <c r="A151" t="s">
        <v>267</v>
      </c>
      <c r="B151" t="s">
        <v>255</v>
      </c>
      <c r="C151" t="s">
        <v>268</v>
      </c>
      <c r="D151" t="s">
        <v>1149</v>
      </c>
      <c r="E151" t="s">
        <v>262</v>
      </c>
      <c r="H151" t="s">
        <v>1338</v>
      </c>
      <c r="I151" t="s">
        <v>1339</v>
      </c>
      <c r="J151" t="s">
        <v>1464</v>
      </c>
      <c r="K151" t="s">
        <v>1465</v>
      </c>
      <c r="M151" t="s">
        <v>1169</v>
      </c>
      <c r="N151" t="s">
        <v>1466</v>
      </c>
      <c r="O151" t="s">
        <v>1174</v>
      </c>
      <c r="P151" t="s">
        <v>1467</v>
      </c>
      <c r="Q151" t="s">
        <v>1468</v>
      </c>
      <c r="S151" t="s">
        <v>1469</v>
      </c>
      <c r="AA151" t="s">
        <v>1329</v>
      </c>
    </row>
    <row r="152" spans="1:27">
      <c r="A152" t="s">
        <v>269</v>
      </c>
      <c r="B152" t="s">
        <v>255</v>
      </c>
      <c r="C152" t="s">
        <v>271</v>
      </c>
      <c r="D152" t="s">
        <v>1149</v>
      </c>
      <c r="E152" t="s">
        <v>270</v>
      </c>
      <c r="H152" t="s">
        <v>1338</v>
      </c>
      <c r="I152" t="s">
        <v>1339</v>
      </c>
      <c r="J152" t="s">
        <v>1464</v>
      </c>
      <c r="K152" t="s">
        <v>1465</v>
      </c>
      <c r="M152" t="s">
        <v>1169</v>
      </c>
      <c r="N152" t="s">
        <v>1470</v>
      </c>
      <c r="O152" t="s">
        <v>1174</v>
      </c>
      <c r="P152" t="s">
        <v>1467</v>
      </c>
      <c r="Q152" t="s">
        <v>1471</v>
      </c>
      <c r="S152" t="s">
        <v>1472</v>
      </c>
      <c r="AA152" t="s">
        <v>1329</v>
      </c>
    </row>
    <row r="153" spans="1:27">
      <c r="A153" t="s">
        <v>272</v>
      </c>
      <c r="B153" t="s">
        <v>255</v>
      </c>
      <c r="C153" t="s">
        <v>274</v>
      </c>
      <c r="D153" t="s">
        <v>1149</v>
      </c>
      <c r="E153" t="s">
        <v>273</v>
      </c>
      <c r="H153" t="s">
        <v>1338</v>
      </c>
      <c r="I153" t="s">
        <v>1339</v>
      </c>
      <c r="J153" t="s">
        <v>1464</v>
      </c>
      <c r="K153" t="s">
        <v>1465</v>
      </c>
      <c r="M153" t="s">
        <v>1169</v>
      </c>
      <c r="N153" t="s">
        <v>1473</v>
      </c>
      <c r="O153" t="s">
        <v>1174</v>
      </c>
      <c r="P153" t="s">
        <v>1467</v>
      </c>
      <c r="Q153" t="s">
        <v>1474</v>
      </c>
      <c r="S153" t="s">
        <v>1475</v>
      </c>
      <c r="AA153" t="s">
        <v>1329</v>
      </c>
    </row>
    <row r="154" spans="1:27">
      <c r="A154" t="s">
        <v>275</v>
      </c>
      <c r="B154" t="s">
        <v>255</v>
      </c>
      <c r="C154" t="s">
        <v>277</v>
      </c>
      <c r="D154" t="s">
        <v>1149</v>
      </c>
      <c r="E154" t="s">
        <v>276</v>
      </c>
      <c r="H154" t="s">
        <v>1338</v>
      </c>
      <c r="I154" t="s">
        <v>1339</v>
      </c>
      <c r="J154" t="s">
        <v>1464</v>
      </c>
      <c r="K154" t="s">
        <v>1465</v>
      </c>
      <c r="M154" t="s">
        <v>1169</v>
      </c>
      <c r="N154" t="s">
        <v>1476</v>
      </c>
      <c r="O154" t="s">
        <v>1174</v>
      </c>
      <c r="P154" t="s">
        <v>1467</v>
      </c>
      <c r="Q154" t="s">
        <v>1477</v>
      </c>
      <c r="S154" t="s">
        <v>1478</v>
      </c>
      <c r="AA154" t="s">
        <v>1329</v>
      </c>
    </row>
    <row r="155" spans="1:27">
      <c r="A155" t="s">
        <v>269</v>
      </c>
      <c r="B155" t="s">
        <v>260</v>
      </c>
      <c r="C155" t="s">
        <v>278</v>
      </c>
      <c r="D155" t="s">
        <v>1149</v>
      </c>
      <c r="E155" t="s">
        <v>170</v>
      </c>
      <c r="H155" t="s">
        <v>1338</v>
      </c>
      <c r="I155" t="s">
        <v>1339</v>
      </c>
      <c r="J155" t="s">
        <v>1464</v>
      </c>
      <c r="K155" t="s">
        <v>1465</v>
      </c>
      <c r="M155" t="s">
        <v>1169</v>
      </c>
      <c r="N155" t="s">
        <v>1479</v>
      </c>
      <c r="O155" t="s">
        <v>1174</v>
      </c>
      <c r="P155" t="s">
        <v>1467</v>
      </c>
      <c r="Q155" t="s">
        <v>1480</v>
      </c>
      <c r="S155" t="s">
        <v>1481</v>
      </c>
      <c r="AA155" t="s">
        <v>1329</v>
      </c>
    </row>
    <row r="156" spans="1:27">
      <c r="A156" t="s">
        <v>279</v>
      </c>
      <c r="B156" t="s">
        <v>258</v>
      </c>
      <c r="C156" t="s">
        <v>280</v>
      </c>
      <c r="D156" t="s">
        <v>1149</v>
      </c>
      <c r="E156" t="s">
        <v>265</v>
      </c>
      <c r="H156" t="s">
        <v>1338</v>
      </c>
      <c r="I156" t="s">
        <v>1339</v>
      </c>
      <c r="J156" t="s">
        <v>1464</v>
      </c>
      <c r="K156" t="s">
        <v>1465</v>
      </c>
      <c r="M156" t="s">
        <v>1169</v>
      </c>
      <c r="N156" t="s">
        <v>1482</v>
      </c>
      <c r="O156" t="s">
        <v>1174</v>
      </c>
      <c r="P156" t="s">
        <v>1467</v>
      </c>
      <c r="Q156" t="s">
        <v>1483</v>
      </c>
      <c r="S156" t="s">
        <v>1484</v>
      </c>
      <c r="AA156" t="s">
        <v>1329</v>
      </c>
    </row>
    <row r="157" spans="1:27">
      <c r="A157" t="s">
        <v>1485</v>
      </c>
      <c r="B157" t="s">
        <v>255</v>
      </c>
      <c r="C157" t="s">
        <v>1486</v>
      </c>
      <c r="D157" t="s">
        <v>1149</v>
      </c>
      <c r="E157" t="s">
        <v>1487</v>
      </c>
      <c r="H157" t="s">
        <v>1338</v>
      </c>
      <c r="I157" t="s">
        <v>1339</v>
      </c>
      <c r="J157" t="s">
        <v>1464</v>
      </c>
      <c r="K157" t="s">
        <v>1465</v>
      </c>
      <c r="M157" t="s">
        <v>1169</v>
      </c>
      <c r="N157" t="s">
        <v>1488</v>
      </c>
      <c r="O157" t="s">
        <v>1174</v>
      </c>
      <c r="P157" t="s">
        <v>1467</v>
      </c>
      <c r="Q157" t="s">
        <v>1489</v>
      </c>
      <c r="S157" t="s">
        <v>1490</v>
      </c>
      <c r="AA157" t="s">
        <v>1329</v>
      </c>
    </row>
    <row r="158" spans="1:27">
      <c r="A158" t="s">
        <v>281</v>
      </c>
      <c r="B158" t="s">
        <v>255</v>
      </c>
      <c r="C158" t="s">
        <v>283</v>
      </c>
      <c r="D158" t="s">
        <v>1149</v>
      </c>
      <c r="E158" t="s">
        <v>282</v>
      </c>
      <c r="H158" t="s">
        <v>1338</v>
      </c>
      <c r="I158" t="s">
        <v>1339</v>
      </c>
      <c r="J158" t="s">
        <v>1464</v>
      </c>
      <c r="K158" t="s">
        <v>1465</v>
      </c>
      <c r="M158" t="s">
        <v>1169</v>
      </c>
      <c r="N158" t="s">
        <v>1491</v>
      </c>
      <c r="O158" t="s">
        <v>1174</v>
      </c>
      <c r="P158" t="s">
        <v>1467</v>
      </c>
      <c r="Q158" t="s">
        <v>1492</v>
      </c>
      <c r="S158" t="s">
        <v>1493</v>
      </c>
      <c r="AA158" t="s">
        <v>1329</v>
      </c>
    </row>
    <row r="159" spans="1:27">
      <c r="A159" t="s">
        <v>1494</v>
      </c>
      <c r="B159" t="s">
        <v>255</v>
      </c>
      <c r="C159" t="s">
        <v>1495</v>
      </c>
      <c r="D159" t="s">
        <v>1149</v>
      </c>
      <c r="E159" t="s">
        <v>1496</v>
      </c>
      <c r="H159" t="s">
        <v>1338</v>
      </c>
      <c r="I159" t="s">
        <v>1339</v>
      </c>
      <c r="J159" t="s">
        <v>1464</v>
      </c>
      <c r="K159" t="s">
        <v>1465</v>
      </c>
      <c r="M159" t="s">
        <v>1169</v>
      </c>
      <c r="N159" t="s">
        <v>1497</v>
      </c>
      <c r="O159" t="s">
        <v>1174</v>
      </c>
      <c r="P159" t="s">
        <v>1467</v>
      </c>
      <c r="Q159" t="s">
        <v>1498</v>
      </c>
      <c r="S159" t="s">
        <v>1499</v>
      </c>
      <c r="AA159" t="s">
        <v>1329</v>
      </c>
    </row>
    <row r="160" spans="1:27">
      <c r="A160" t="s">
        <v>284</v>
      </c>
      <c r="B160" t="s">
        <v>263</v>
      </c>
      <c r="C160" t="s">
        <v>286</v>
      </c>
      <c r="D160" t="s">
        <v>1149</v>
      </c>
      <c r="E160" t="s">
        <v>285</v>
      </c>
      <c r="H160" t="s">
        <v>1338</v>
      </c>
      <c r="I160" t="s">
        <v>1339</v>
      </c>
      <c r="J160" t="s">
        <v>1464</v>
      </c>
      <c r="K160" t="s">
        <v>1465</v>
      </c>
      <c r="M160" t="s">
        <v>1169</v>
      </c>
      <c r="N160" t="s">
        <v>1500</v>
      </c>
      <c r="O160" t="s">
        <v>1174</v>
      </c>
      <c r="P160" t="s">
        <v>1467</v>
      </c>
      <c r="Q160" t="s">
        <v>1501</v>
      </c>
      <c r="S160" t="s">
        <v>1502</v>
      </c>
      <c r="AA160" t="s">
        <v>1329</v>
      </c>
    </row>
    <row r="161" spans="1:27">
      <c r="A161" t="s">
        <v>287</v>
      </c>
      <c r="B161" t="s">
        <v>263</v>
      </c>
      <c r="C161" t="s">
        <v>289</v>
      </c>
      <c r="D161" t="s">
        <v>1149</v>
      </c>
      <c r="E161" t="s">
        <v>288</v>
      </c>
      <c r="H161" t="s">
        <v>1338</v>
      </c>
      <c r="I161" t="s">
        <v>1339</v>
      </c>
      <c r="J161" t="s">
        <v>1464</v>
      </c>
      <c r="K161" t="s">
        <v>1465</v>
      </c>
      <c r="M161" t="s">
        <v>1169</v>
      </c>
      <c r="N161" t="s">
        <v>1503</v>
      </c>
      <c r="O161" t="s">
        <v>1174</v>
      </c>
      <c r="P161" t="s">
        <v>1467</v>
      </c>
      <c r="Q161" t="s">
        <v>1504</v>
      </c>
      <c r="S161" t="s">
        <v>1505</v>
      </c>
      <c r="AA161" t="s">
        <v>1329</v>
      </c>
    </row>
    <row r="162" spans="1:27">
      <c r="A162" t="s">
        <v>295</v>
      </c>
      <c r="B162" t="s">
        <v>258</v>
      </c>
      <c r="C162" t="s">
        <v>296</v>
      </c>
      <c r="D162" t="s">
        <v>1149</v>
      </c>
      <c r="E162" t="s">
        <v>262</v>
      </c>
      <c r="H162" t="s">
        <v>1338</v>
      </c>
      <c r="I162" t="s">
        <v>1339</v>
      </c>
      <c r="J162" t="s">
        <v>1464</v>
      </c>
      <c r="K162" t="s">
        <v>1465</v>
      </c>
      <c r="M162" t="s">
        <v>1169</v>
      </c>
      <c r="N162" t="s">
        <v>1473</v>
      </c>
      <c r="O162" t="s">
        <v>1174</v>
      </c>
      <c r="P162" t="s">
        <v>1506</v>
      </c>
      <c r="Q162" t="s">
        <v>1474</v>
      </c>
      <c r="S162" t="s">
        <v>1475</v>
      </c>
      <c r="AA162" t="s">
        <v>1329</v>
      </c>
    </row>
    <row r="163" spans="1:27">
      <c r="A163" t="s">
        <v>297</v>
      </c>
      <c r="B163" t="s">
        <v>258</v>
      </c>
      <c r="C163" t="s">
        <v>298</v>
      </c>
      <c r="D163" t="s">
        <v>1149</v>
      </c>
      <c r="E163" t="s">
        <v>292</v>
      </c>
      <c r="H163" t="s">
        <v>1338</v>
      </c>
      <c r="I163" t="s">
        <v>1339</v>
      </c>
      <c r="J163" t="s">
        <v>1464</v>
      </c>
      <c r="K163" t="s">
        <v>1465</v>
      </c>
      <c r="M163" t="s">
        <v>1169</v>
      </c>
      <c r="N163" t="s">
        <v>1507</v>
      </c>
      <c r="O163" t="s">
        <v>1174</v>
      </c>
      <c r="P163" t="s">
        <v>1506</v>
      </c>
      <c r="Q163" t="s">
        <v>1477</v>
      </c>
      <c r="S163" t="s">
        <v>1478</v>
      </c>
      <c r="AA163" t="s">
        <v>1329</v>
      </c>
    </row>
    <row r="164" spans="1:27">
      <c r="A164" t="s">
        <v>299</v>
      </c>
      <c r="B164" t="s">
        <v>258</v>
      </c>
      <c r="C164" t="s">
        <v>301</v>
      </c>
      <c r="D164" t="s">
        <v>1149</v>
      </c>
      <c r="E164" t="s">
        <v>300</v>
      </c>
      <c r="H164" t="s">
        <v>1338</v>
      </c>
      <c r="I164" t="s">
        <v>1339</v>
      </c>
      <c r="J164" t="s">
        <v>1464</v>
      </c>
      <c r="K164" t="s">
        <v>1465</v>
      </c>
      <c r="M164" t="s">
        <v>1169</v>
      </c>
      <c r="N164" t="s">
        <v>299</v>
      </c>
      <c r="O164" t="s">
        <v>1174</v>
      </c>
      <c r="P164" t="s">
        <v>1506</v>
      </c>
      <c r="Q164" t="s">
        <v>1508</v>
      </c>
      <c r="S164" t="s">
        <v>1509</v>
      </c>
      <c r="AA164" t="s">
        <v>1329</v>
      </c>
    </row>
    <row r="165" spans="1:27">
      <c r="A165" t="s">
        <v>1510</v>
      </c>
      <c r="B165" t="s">
        <v>258</v>
      </c>
      <c r="C165" t="s">
        <v>1511</v>
      </c>
      <c r="D165" t="s">
        <v>1149</v>
      </c>
      <c r="E165" t="s">
        <v>282</v>
      </c>
      <c r="H165" t="s">
        <v>1338</v>
      </c>
      <c r="I165" t="s">
        <v>1339</v>
      </c>
      <c r="J165" t="s">
        <v>1464</v>
      </c>
      <c r="K165" t="s">
        <v>1465</v>
      </c>
      <c r="M165" t="s">
        <v>1169</v>
      </c>
      <c r="N165" t="s">
        <v>1512</v>
      </c>
      <c r="O165" t="s">
        <v>1174</v>
      </c>
      <c r="P165" t="s">
        <v>1506</v>
      </c>
      <c r="Q165" t="s">
        <v>1513</v>
      </c>
      <c r="S165" t="s">
        <v>1493</v>
      </c>
      <c r="AA165" t="s">
        <v>1329</v>
      </c>
    </row>
    <row r="166" spans="1:27">
      <c r="A166" t="s">
        <v>302</v>
      </c>
      <c r="B166" t="s">
        <v>258</v>
      </c>
      <c r="C166" t="s">
        <v>304</v>
      </c>
      <c r="D166" t="s">
        <v>1149</v>
      </c>
      <c r="E166" t="s">
        <v>303</v>
      </c>
      <c r="H166" t="s">
        <v>1338</v>
      </c>
      <c r="I166" t="s">
        <v>1339</v>
      </c>
      <c r="J166" t="s">
        <v>1464</v>
      </c>
      <c r="K166" t="s">
        <v>1465</v>
      </c>
      <c r="M166" t="s">
        <v>1169</v>
      </c>
      <c r="N166" t="s">
        <v>1514</v>
      </c>
      <c r="O166" t="s">
        <v>1174</v>
      </c>
      <c r="P166" t="s">
        <v>1506</v>
      </c>
      <c r="Q166" t="s">
        <v>1515</v>
      </c>
      <c r="S166" t="s">
        <v>1499</v>
      </c>
      <c r="AA166" t="s">
        <v>1329</v>
      </c>
    </row>
    <row r="167" spans="1:27">
      <c r="A167" t="s">
        <v>305</v>
      </c>
      <c r="B167" t="s">
        <v>260</v>
      </c>
      <c r="C167" t="s">
        <v>306</v>
      </c>
      <c r="D167" t="s">
        <v>1130</v>
      </c>
      <c r="E167" t="s">
        <v>270</v>
      </c>
      <c r="H167" t="s">
        <v>1338</v>
      </c>
      <c r="I167" t="s">
        <v>1339</v>
      </c>
      <c r="J167" t="s">
        <v>1464</v>
      </c>
      <c r="K167" t="s">
        <v>1465</v>
      </c>
      <c r="M167" t="s">
        <v>1169</v>
      </c>
      <c r="N167" t="s">
        <v>1516</v>
      </c>
      <c r="O167" t="s">
        <v>1174</v>
      </c>
      <c r="P167" t="s">
        <v>1506</v>
      </c>
      <c r="Q167" t="s">
        <v>1517</v>
      </c>
      <c r="S167" t="s">
        <v>1443</v>
      </c>
      <c r="AA167" t="s">
        <v>1329</v>
      </c>
    </row>
    <row r="168" spans="1:27">
      <c r="A168" t="s">
        <v>307</v>
      </c>
      <c r="B168" t="s">
        <v>255</v>
      </c>
      <c r="C168" t="s">
        <v>308</v>
      </c>
      <c r="D168" t="s">
        <v>1130</v>
      </c>
      <c r="E168" t="s">
        <v>242</v>
      </c>
      <c r="H168" t="s">
        <v>1338</v>
      </c>
      <c r="I168" t="s">
        <v>1339</v>
      </c>
      <c r="J168" t="s">
        <v>1464</v>
      </c>
      <c r="K168" t="s">
        <v>1465</v>
      </c>
      <c r="M168" t="s">
        <v>1169</v>
      </c>
      <c r="N168" t="s">
        <v>1518</v>
      </c>
      <c r="O168" t="s">
        <v>1174</v>
      </c>
      <c r="P168" t="s">
        <v>1506</v>
      </c>
      <c r="Q168" t="s">
        <v>1519</v>
      </c>
      <c r="S168" t="s">
        <v>1520</v>
      </c>
      <c r="AA168" t="s">
        <v>1329</v>
      </c>
    </row>
    <row r="169" spans="1:27">
      <c r="A169" t="s">
        <v>309</v>
      </c>
      <c r="B169" t="s">
        <v>268</v>
      </c>
      <c r="C169" t="s">
        <v>311</v>
      </c>
      <c r="D169" t="s">
        <v>1149</v>
      </c>
      <c r="E169" t="s">
        <v>310</v>
      </c>
      <c r="H169" t="s">
        <v>1338</v>
      </c>
      <c r="I169" t="s">
        <v>1339</v>
      </c>
      <c r="J169" t="s">
        <v>1464</v>
      </c>
      <c r="K169" t="s">
        <v>1465</v>
      </c>
      <c r="M169" t="s">
        <v>1169</v>
      </c>
      <c r="N169" t="s">
        <v>1521</v>
      </c>
      <c r="O169" t="s">
        <v>1174</v>
      </c>
      <c r="P169" t="s">
        <v>1506</v>
      </c>
      <c r="Q169" t="s">
        <v>1522</v>
      </c>
      <c r="S169" t="s">
        <v>1523</v>
      </c>
      <c r="AA169" t="s">
        <v>1329</v>
      </c>
    </row>
    <row r="170" spans="1:27">
      <c r="A170" t="s">
        <v>312</v>
      </c>
      <c r="B170" t="s">
        <v>266</v>
      </c>
      <c r="C170" t="s">
        <v>314</v>
      </c>
      <c r="D170" t="s">
        <v>1149</v>
      </c>
      <c r="E170" t="s">
        <v>313</v>
      </c>
      <c r="H170" t="s">
        <v>1338</v>
      </c>
      <c r="I170" t="s">
        <v>1339</v>
      </c>
      <c r="J170" t="s">
        <v>1464</v>
      </c>
      <c r="K170" t="s">
        <v>1465</v>
      </c>
      <c r="M170" t="s">
        <v>1169</v>
      </c>
      <c r="N170" t="s">
        <v>1524</v>
      </c>
      <c r="O170" t="s">
        <v>1174</v>
      </c>
      <c r="P170" t="s">
        <v>1506</v>
      </c>
      <c r="Q170" t="s">
        <v>1525</v>
      </c>
      <c r="S170" t="s">
        <v>1505</v>
      </c>
      <c r="AA170" t="s">
        <v>1329</v>
      </c>
    </row>
    <row r="171" spans="1:27">
      <c r="A171" t="s">
        <v>291</v>
      </c>
      <c r="B171" t="s">
        <v>304</v>
      </c>
      <c r="C171" t="s">
        <v>293</v>
      </c>
      <c r="D171" t="s">
        <v>1149</v>
      </c>
      <c r="E171" t="s">
        <v>292</v>
      </c>
      <c r="H171" t="s">
        <v>1338</v>
      </c>
      <c r="I171" t="s">
        <v>1339</v>
      </c>
      <c r="J171" t="s">
        <v>1464</v>
      </c>
      <c r="K171" t="s">
        <v>1465</v>
      </c>
      <c r="M171" t="s">
        <v>1169</v>
      </c>
      <c r="N171" t="s">
        <v>1526</v>
      </c>
      <c r="O171" t="s">
        <v>1174</v>
      </c>
      <c r="P171" t="s">
        <v>1527</v>
      </c>
      <c r="Q171" t="s">
        <v>1528</v>
      </c>
      <c r="S171" t="s">
        <v>1529</v>
      </c>
      <c r="AA171" t="s">
        <v>1329</v>
      </c>
    </row>
    <row r="172" spans="1:27">
      <c r="A172" t="s">
        <v>397</v>
      </c>
      <c r="B172" t="s">
        <v>263</v>
      </c>
      <c r="C172" t="s">
        <v>398</v>
      </c>
      <c r="D172" t="s">
        <v>1149</v>
      </c>
      <c r="E172" t="s">
        <v>273</v>
      </c>
      <c r="H172" t="s">
        <v>1338</v>
      </c>
      <c r="I172" t="s">
        <v>1339</v>
      </c>
      <c r="J172" t="s">
        <v>1464</v>
      </c>
      <c r="K172" t="s">
        <v>1465</v>
      </c>
      <c r="M172" t="s">
        <v>1169</v>
      </c>
      <c r="N172" t="s">
        <v>1173</v>
      </c>
      <c r="O172" t="s">
        <v>1174</v>
      </c>
      <c r="P172" t="s">
        <v>1175</v>
      </c>
      <c r="Q172" t="s">
        <v>1176</v>
      </c>
      <c r="S172" t="s">
        <v>1159</v>
      </c>
      <c r="AA172" t="s">
        <v>1530</v>
      </c>
    </row>
    <row r="173" spans="1:27">
      <c r="A173" t="s">
        <v>349</v>
      </c>
      <c r="B173" t="s">
        <v>255</v>
      </c>
      <c r="C173" t="s">
        <v>372</v>
      </c>
      <c r="D173" t="s">
        <v>1149</v>
      </c>
      <c r="E173" t="s">
        <v>371</v>
      </c>
      <c r="H173" t="s">
        <v>1338</v>
      </c>
      <c r="I173" t="s">
        <v>1339</v>
      </c>
      <c r="J173" t="s">
        <v>1464</v>
      </c>
      <c r="K173" t="s">
        <v>1465</v>
      </c>
      <c r="M173" t="s">
        <v>1169</v>
      </c>
      <c r="N173" t="s">
        <v>1531</v>
      </c>
      <c r="O173" t="s">
        <v>1174</v>
      </c>
      <c r="P173" t="s">
        <v>1532</v>
      </c>
      <c r="Q173" t="s">
        <v>1533</v>
      </c>
      <c r="S173" t="s">
        <v>1534</v>
      </c>
      <c r="AA173" t="s">
        <v>1329</v>
      </c>
    </row>
    <row r="174" spans="1:27">
      <c r="A174" t="s">
        <v>349</v>
      </c>
      <c r="B174" t="s">
        <v>260</v>
      </c>
      <c r="C174" t="s">
        <v>374</v>
      </c>
      <c r="D174" t="s">
        <v>1149</v>
      </c>
      <c r="E174" t="s">
        <v>373</v>
      </c>
      <c r="H174" t="s">
        <v>1338</v>
      </c>
      <c r="I174" t="s">
        <v>1339</v>
      </c>
      <c r="J174" t="s">
        <v>1464</v>
      </c>
      <c r="K174" t="s">
        <v>1465</v>
      </c>
      <c r="M174" t="s">
        <v>1169</v>
      </c>
      <c r="N174" t="s">
        <v>1170</v>
      </c>
      <c r="O174" t="s">
        <v>1174</v>
      </c>
      <c r="P174" t="s">
        <v>1532</v>
      </c>
      <c r="Q174" t="s">
        <v>1172</v>
      </c>
      <c r="S174" t="s">
        <v>1159</v>
      </c>
      <c r="AA174" t="s">
        <v>1329</v>
      </c>
    </row>
    <row r="175" spans="1:27">
      <c r="A175" t="s">
        <v>322</v>
      </c>
      <c r="B175" t="s">
        <v>260</v>
      </c>
      <c r="C175" t="s">
        <v>324</v>
      </c>
      <c r="D175" t="s">
        <v>1149</v>
      </c>
      <c r="E175" t="s">
        <v>323</v>
      </c>
      <c r="H175" t="s">
        <v>1338</v>
      </c>
      <c r="I175" t="s">
        <v>1339</v>
      </c>
      <c r="J175" t="s">
        <v>1464</v>
      </c>
      <c r="K175" t="s">
        <v>1465</v>
      </c>
      <c r="M175" t="s">
        <v>1169</v>
      </c>
      <c r="N175" t="s">
        <v>1473</v>
      </c>
      <c r="O175" t="s">
        <v>1174</v>
      </c>
      <c r="P175" t="s">
        <v>1535</v>
      </c>
      <c r="Q175" t="s">
        <v>1474</v>
      </c>
      <c r="S175" t="s">
        <v>1475</v>
      </c>
      <c r="AA175" t="s">
        <v>1329</v>
      </c>
    </row>
    <row r="176" spans="1:27">
      <c r="A176" t="s">
        <v>325</v>
      </c>
      <c r="B176" t="s">
        <v>258</v>
      </c>
      <c r="C176" t="s">
        <v>327</v>
      </c>
      <c r="D176" t="s">
        <v>1149</v>
      </c>
      <c r="E176" t="s">
        <v>326</v>
      </c>
      <c r="H176" t="s">
        <v>1338</v>
      </c>
      <c r="I176" t="s">
        <v>1339</v>
      </c>
      <c r="J176" t="s">
        <v>1464</v>
      </c>
      <c r="K176" t="s">
        <v>1465</v>
      </c>
      <c r="M176" t="s">
        <v>1169</v>
      </c>
      <c r="N176" t="s">
        <v>1536</v>
      </c>
      <c r="O176" t="s">
        <v>1174</v>
      </c>
      <c r="P176" t="s">
        <v>1535</v>
      </c>
      <c r="Q176" t="s">
        <v>1537</v>
      </c>
      <c r="S176" t="s">
        <v>1538</v>
      </c>
      <c r="AA176" t="s">
        <v>1329</v>
      </c>
    </row>
    <row r="177" spans="1:27">
      <c r="A177" t="s">
        <v>375</v>
      </c>
      <c r="B177" t="s">
        <v>255</v>
      </c>
      <c r="C177" t="s">
        <v>377</v>
      </c>
      <c r="D177" t="s">
        <v>1149</v>
      </c>
      <c r="E177" t="s">
        <v>376</v>
      </c>
      <c r="H177" t="s">
        <v>1338</v>
      </c>
      <c r="I177" t="s">
        <v>1339</v>
      </c>
      <c r="J177" t="s">
        <v>1464</v>
      </c>
      <c r="K177" t="s">
        <v>1465</v>
      </c>
      <c r="M177" t="s">
        <v>1169</v>
      </c>
      <c r="N177" t="s">
        <v>1539</v>
      </c>
      <c r="O177" t="s">
        <v>1174</v>
      </c>
      <c r="P177" t="s">
        <v>1532</v>
      </c>
      <c r="Q177" t="s">
        <v>1540</v>
      </c>
      <c r="S177" t="s">
        <v>1541</v>
      </c>
      <c r="AA177" t="s">
        <v>1329</v>
      </c>
    </row>
    <row r="178" spans="1:27">
      <c r="A178" t="s">
        <v>1542</v>
      </c>
      <c r="B178" t="s">
        <v>258</v>
      </c>
      <c r="C178" t="s">
        <v>1543</v>
      </c>
      <c r="D178" t="s">
        <v>1149</v>
      </c>
      <c r="E178" t="s">
        <v>1544</v>
      </c>
      <c r="H178" t="s">
        <v>1338</v>
      </c>
      <c r="I178" t="s">
        <v>1339</v>
      </c>
      <c r="J178" t="s">
        <v>1464</v>
      </c>
      <c r="K178" t="s">
        <v>1465</v>
      </c>
      <c r="M178" t="s">
        <v>1169</v>
      </c>
      <c r="N178" t="s">
        <v>1545</v>
      </c>
      <c r="O178" t="s">
        <v>1174</v>
      </c>
      <c r="P178" t="s">
        <v>1532</v>
      </c>
      <c r="Q178" t="s">
        <v>1540</v>
      </c>
      <c r="S178" t="s">
        <v>1541</v>
      </c>
      <c r="AA178" t="s">
        <v>1329</v>
      </c>
    </row>
    <row r="179" spans="1:27">
      <c r="A179" t="s">
        <v>378</v>
      </c>
      <c r="B179" t="s">
        <v>263</v>
      </c>
      <c r="C179" t="s">
        <v>380</v>
      </c>
      <c r="D179" t="s">
        <v>1149</v>
      </c>
      <c r="E179" t="s">
        <v>379</v>
      </c>
      <c r="H179" t="s">
        <v>1338</v>
      </c>
      <c r="I179" t="s">
        <v>1339</v>
      </c>
      <c r="J179" t="s">
        <v>1464</v>
      </c>
      <c r="K179" t="s">
        <v>1465</v>
      </c>
      <c r="M179" t="s">
        <v>1169</v>
      </c>
      <c r="N179" t="s">
        <v>1546</v>
      </c>
      <c r="O179" t="s">
        <v>1174</v>
      </c>
      <c r="P179" t="s">
        <v>1532</v>
      </c>
      <c r="Q179" t="s">
        <v>1547</v>
      </c>
      <c r="S179" t="s">
        <v>1363</v>
      </c>
      <c r="AA179" t="s">
        <v>1329</v>
      </c>
    </row>
    <row r="180" spans="1:27">
      <c r="A180" t="s">
        <v>381</v>
      </c>
      <c r="B180" t="s">
        <v>258</v>
      </c>
      <c r="C180" t="s">
        <v>382</v>
      </c>
      <c r="D180" t="s">
        <v>1149</v>
      </c>
      <c r="E180" t="s">
        <v>288</v>
      </c>
      <c r="H180" t="s">
        <v>1338</v>
      </c>
      <c r="I180" t="s">
        <v>1339</v>
      </c>
      <c r="J180" t="s">
        <v>1464</v>
      </c>
      <c r="K180" t="s">
        <v>1465</v>
      </c>
      <c r="M180" t="s">
        <v>1169</v>
      </c>
      <c r="N180" t="s">
        <v>1548</v>
      </c>
      <c r="O180" t="s">
        <v>1174</v>
      </c>
      <c r="P180" t="s">
        <v>1532</v>
      </c>
      <c r="Q180" t="s">
        <v>1549</v>
      </c>
      <c r="S180" t="s">
        <v>1505</v>
      </c>
      <c r="AA180" t="s">
        <v>1329</v>
      </c>
    </row>
    <row r="181" spans="1:27">
      <c r="A181" t="s">
        <v>383</v>
      </c>
      <c r="B181" t="s">
        <v>263</v>
      </c>
      <c r="C181" t="s">
        <v>385</v>
      </c>
      <c r="D181" t="s">
        <v>1130</v>
      </c>
      <c r="E181" t="s">
        <v>384</v>
      </c>
      <c r="H181" t="s">
        <v>1338</v>
      </c>
      <c r="I181" t="s">
        <v>1339</v>
      </c>
      <c r="J181" t="s">
        <v>1464</v>
      </c>
      <c r="K181" t="s">
        <v>1465</v>
      </c>
      <c r="M181" t="s">
        <v>1169</v>
      </c>
      <c r="N181" t="s">
        <v>1550</v>
      </c>
      <c r="O181" t="s">
        <v>1174</v>
      </c>
      <c r="P181" t="s">
        <v>1551</v>
      </c>
      <c r="Q181" t="s">
        <v>1552</v>
      </c>
      <c r="S181" t="s">
        <v>1553</v>
      </c>
      <c r="AA181" t="s">
        <v>1329</v>
      </c>
    </row>
    <row r="182" spans="1:27">
      <c r="A182" t="s">
        <v>406</v>
      </c>
      <c r="B182" t="s">
        <v>271</v>
      </c>
      <c r="C182" t="s">
        <v>407</v>
      </c>
      <c r="D182" t="s">
        <v>1130</v>
      </c>
      <c r="E182" t="s">
        <v>200</v>
      </c>
      <c r="H182" t="s">
        <v>1338</v>
      </c>
      <c r="I182" t="s">
        <v>1339</v>
      </c>
      <c r="J182" t="s">
        <v>1464</v>
      </c>
      <c r="K182" t="s">
        <v>1465</v>
      </c>
      <c r="M182" t="s">
        <v>1169</v>
      </c>
      <c r="N182" t="s">
        <v>1554</v>
      </c>
      <c r="O182" t="s">
        <v>1174</v>
      </c>
      <c r="P182" t="s">
        <v>1555</v>
      </c>
      <c r="Q182" t="s">
        <v>1556</v>
      </c>
      <c r="S182" t="s">
        <v>1350</v>
      </c>
      <c r="AA182" t="s">
        <v>1329</v>
      </c>
    </row>
    <row r="183" spans="1:27">
      <c r="A183" t="s">
        <v>1557</v>
      </c>
      <c r="B183" t="s">
        <v>255</v>
      </c>
      <c r="C183" t="s">
        <v>1558</v>
      </c>
      <c r="D183" t="s">
        <v>1149</v>
      </c>
      <c r="E183" t="s">
        <v>158</v>
      </c>
      <c r="H183" t="s">
        <v>1338</v>
      </c>
      <c r="I183" t="s">
        <v>1339</v>
      </c>
      <c r="J183" t="s">
        <v>1464</v>
      </c>
      <c r="K183" t="s">
        <v>1465</v>
      </c>
      <c r="M183" t="s">
        <v>1169</v>
      </c>
      <c r="N183" t="s">
        <v>1559</v>
      </c>
      <c r="O183" t="s">
        <v>1174</v>
      </c>
      <c r="P183" t="s">
        <v>1560</v>
      </c>
      <c r="Q183" t="s">
        <v>1561</v>
      </c>
      <c r="S183" t="s">
        <v>1393</v>
      </c>
      <c r="AA183" t="s">
        <v>1329</v>
      </c>
    </row>
    <row r="184" spans="1:27">
      <c r="A184" t="s">
        <v>386</v>
      </c>
      <c r="B184" t="s">
        <v>255</v>
      </c>
      <c r="C184" t="s">
        <v>388</v>
      </c>
      <c r="D184" t="s">
        <v>1149</v>
      </c>
      <c r="E184" t="s">
        <v>387</v>
      </c>
      <c r="H184" t="s">
        <v>1338</v>
      </c>
      <c r="I184" t="s">
        <v>1339</v>
      </c>
      <c r="J184" t="s">
        <v>1464</v>
      </c>
      <c r="K184" t="s">
        <v>1465</v>
      </c>
      <c r="M184" t="s">
        <v>1169</v>
      </c>
      <c r="N184" t="s">
        <v>1562</v>
      </c>
      <c r="O184" t="s">
        <v>1174</v>
      </c>
      <c r="P184" t="s">
        <v>1563</v>
      </c>
      <c r="S184" t="s">
        <v>1564</v>
      </c>
      <c r="AA184" t="s">
        <v>1329</v>
      </c>
    </row>
    <row r="185" spans="1:27">
      <c r="A185" t="s">
        <v>386</v>
      </c>
      <c r="B185" t="s">
        <v>260</v>
      </c>
      <c r="C185" t="s">
        <v>390</v>
      </c>
      <c r="D185" t="s">
        <v>1149</v>
      </c>
      <c r="E185" t="s">
        <v>389</v>
      </c>
      <c r="H185" t="s">
        <v>1338</v>
      </c>
      <c r="I185" t="s">
        <v>1339</v>
      </c>
      <c r="J185" t="s">
        <v>1464</v>
      </c>
      <c r="K185" t="s">
        <v>1465</v>
      </c>
      <c r="M185" t="s">
        <v>1169</v>
      </c>
      <c r="N185" t="s">
        <v>1565</v>
      </c>
      <c r="O185" t="s">
        <v>1174</v>
      </c>
      <c r="P185" t="s">
        <v>1563</v>
      </c>
      <c r="Q185" t="s">
        <v>1566</v>
      </c>
      <c r="S185" t="s">
        <v>1567</v>
      </c>
      <c r="AA185" t="s">
        <v>1329</v>
      </c>
    </row>
    <row r="186" spans="1:27">
      <c r="A186" t="s">
        <v>391</v>
      </c>
      <c r="B186" t="s">
        <v>260</v>
      </c>
      <c r="C186" t="s">
        <v>393</v>
      </c>
      <c r="D186" t="s">
        <v>1149</v>
      </c>
      <c r="E186" t="s">
        <v>392</v>
      </c>
      <c r="H186" t="s">
        <v>1338</v>
      </c>
      <c r="I186" t="s">
        <v>1339</v>
      </c>
      <c r="J186" t="s">
        <v>1464</v>
      </c>
      <c r="K186" t="s">
        <v>1465</v>
      </c>
      <c r="M186" t="s">
        <v>1169</v>
      </c>
      <c r="N186" t="s">
        <v>1568</v>
      </c>
      <c r="O186" t="s">
        <v>1174</v>
      </c>
      <c r="P186" t="s">
        <v>1563</v>
      </c>
      <c r="Q186" t="s">
        <v>1549</v>
      </c>
      <c r="S186" t="s">
        <v>1505</v>
      </c>
      <c r="AA186" t="s">
        <v>1329</v>
      </c>
    </row>
    <row r="187" spans="1:27">
      <c r="A187" t="s">
        <v>432</v>
      </c>
      <c r="B187" t="s">
        <v>263</v>
      </c>
      <c r="C187" t="s">
        <v>433</v>
      </c>
      <c r="D187" t="s">
        <v>1149</v>
      </c>
      <c r="E187" t="s">
        <v>334</v>
      </c>
      <c r="H187" t="s">
        <v>1338</v>
      </c>
      <c r="I187" t="s">
        <v>1339</v>
      </c>
      <c r="J187" t="s">
        <v>1464</v>
      </c>
      <c r="K187" t="s">
        <v>1465</v>
      </c>
      <c r="M187" t="s">
        <v>1169</v>
      </c>
      <c r="N187" t="s">
        <v>1569</v>
      </c>
      <c r="O187" t="s">
        <v>1174</v>
      </c>
      <c r="P187" t="s">
        <v>1570</v>
      </c>
      <c r="Q187" t="s">
        <v>1571</v>
      </c>
      <c r="S187" t="s">
        <v>1412</v>
      </c>
      <c r="AA187" t="s">
        <v>1329</v>
      </c>
    </row>
    <row r="188" spans="1:27">
      <c r="A188" t="s">
        <v>448</v>
      </c>
      <c r="B188" t="s">
        <v>258</v>
      </c>
      <c r="C188" t="s">
        <v>450</v>
      </c>
      <c r="D188" t="s">
        <v>1130</v>
      </c>
      <c r="E188" t="s">
        <v>449</v>
      </c>
      <c r="H188" t="s">
        <v>1338</v>
      </c>
      <c r="I188" t="s">
        <v>1339</v>
      </c>
      <c r="J188" t="s">
        <v>1464</v>
      </c>
      <c r="K188" t="s">
        <v>1465</v>
      </c>
      <c r="M188" t="s">
        <v>1169</v>
      </c>
      <c r="N188" t="s">
        <v>1572</v>
      </c>
      <c r="O188" t="s">
        <v>1174</v>
      </c>
      <c r="P188" t="s">
        <v>1573</v>
      </c>
      <c r="Q188" t="s">
        <v>1574</v>
      </c>
      <c r="S188" t="s">
        <v>1553</v>
      </c>
      <c r="AA188" t="s">
        <v>1329</v>
      </c>
    </row>
    <row r="189" spans="1:27">
      <c r="A189" t="s">
        <v>451</v>
      </c>
      <c r="B189" t="s">
        <v>301</v>
      </c>
      <c r="C189" t="s">
        <v>452</v>
      </c>
      <c r="D189" t="s">
        <v>1149</v>
      </c>
      <c r="E189" t="s">
        <v>282</v>
      </c>
      <c r="H189" t="s">
        <v>1338</v>
      </c>
      <c r="I189" t="s">
        <v>1339</v>
      </c>
      <c r="J189" t="s">
        <v>1464</v>
      </c>
      <c r="K189" t="s">
        <v>1465</v>
      </c>
      <c r="M189" t="s">
        <v>1169</v>
      </c>
      <c r="N189" t="s">
        <v>1575</v>
      </c>
      <c r="O189" t="s">
        <v>1174</v>
      </c>
      <c r="P189" t="s">
        <v>1576</v>
      </c>
      <c r="Q189" t="s">
        <v>1577</v>
      </c>
      <c r="S189" t="s">
        <v>1529</v>
      </c>
      <c r="AA189" t="s">
        <v>1329</v>
      </c>
    </row>
    <row r="190" spans="1:27">
      <c r="A190" t="s">
        <v>453</v>
      </c>
      <c r="B190" t="s">
        <v>266</v>
      </c>
      <c r="C190" t="s">
        <v>454</v>
      </c>
      <c r="D190" t="s">
        <v>1149</v>
      </c>
      <c r="E190" t="s">
        <v>282</v>
      </c>
      <c r="H190" t="s">
        <v>1338</v>
      </c>
      <c r="I190" t="s">
        <v>1339</v>
      </c>
      <c r="J190" t="s">
        <v>1464</v>
      </c>
      <c r="K190" t="s">
        <v>1465</v>
      </c>
      <c r="M190" t="s">
        <v>1169</v>
      </c>
      <c r="N190" t="s">
        <v>1578</v>
      </c>
      <c r="O190" t="s">
        <v>1174</v>
      </c>
      <c r="P190" t="s">
        <v>1579</v>
      </c>
      <c r="Q190" t="s">
        <v>1580</v>
      </c>
      <c r="S190" t="s">
        <v>1493</v>
      </c>
      <c r="AA190" t="s">
        <v>1329</v>
      </c>
    </row>
    <row r="191" spans="1:27">
      <c r="A191" t="s">
        <v>455</v>
      </c>
      <c r="B191" t="s">
        <v>263</v>
      </c>
      <c r="C191" t="s">
        <v>456</v>
      </c>
      <c r="D191" t="s">
        <v>1130</v>
      </c>
      <c r="E191" t="s">
        <v>200</v>
      </c>
      <c r="H191" t="s">
        <v>1338</v>
      </c>
      <c r="I191" t="s">
        <v>1339</v>
      </c>
      <c r="J191" t="s">
        <v>1464</v>
      </c>
      <c r="K191" t="s">
        <v>1465</v>
      </c>
      <c r="M191" t="s">
        <v>1169</v>
      </c>
      <c r="N191" t="s">
        <v>1581</v>
      </c>
      <c r="O191" t="s">
        <v>1174</v>
      </c>
      <c r="P191" t="s">
        <v>1576</v>
      </c>
      <c r="Q191" t="s">
        <v>1582</v>
      </c>
      <c r="S191" t="s">
        <v>1350</v>
      </c>
      <c r="AA191" t="s">
        <v>1329</v>
      </c>
    </row>
    <row r="192" spans="1:27">
      <c r="A192" t="s">
        <v>457</v>
      </c>
      <c r="B192" t="s">
        <v>258</v>
      </c>
      <c r="C192" t="s">
        <v>459</v>
      </c>
      <c r="D192" t="s">
        <v>1130</v>
      </c>
      <c r="E192" t="s">
        <v>458</v>
      </c>
      <c r="H192" t="s">
        <v>1338</v>
      </c>
      <c r="I192" t="s">
        <v>1339</v>
      </c>
      <c r="J192" t="s">
        <v>1464</v>
      </c>
      <c r="K192" t="s">
        <v>1465</v>
      </c>
      <c r="M192" t="s">
        <v>1169</v>
      </c>
      <c r="N192" t="s">
        <v>1583</v>
      </c>
      <c r="O192" t="s">
        <v>1174</v>
      </c>
      <c r="P192" t="s">
        <v>1584</v>
      </c>
      <c r="Q192" t="s">
        <v>1585</v>
      </c>
      <c r="S192" t="s">
        <v>1350</v>
      </c>
    </row>
    <row r="193" spans="1:27">
      <c r="A193" t="s">
        <v>328</v>
      </c>
      <c r="B193" t="s">
        <v>260</v>
      </c>
      <c r="C193" t="s">
        <v>330</v>
      </c>
      <c r="D193" t="s">
        <v>1149</v>
      </c>
      <c r="E193" t="s">
        <v>329</v>
      </c>
      <c r="H193" t="s">
        <v>1338</v>
      </c>
      <c r="I193" t="s">
        <v>1339</v>
      </c>
      <c r="J193" t="s">
        <v>1464</v>
      </c>
      <c r="K193" t="s">
        <v>1465</v>
      </c>
      <c r="M193" t="s">
        <v>1169</v>
      </c>
      <c r="N193" t="s">
        <v>1586</v>
      </c>
      <c r="O193" t="s">
        <v>1174</v>
      </c>
      <c r="P193" t="s">
        <v>1535</v>
      </c>
      <c r="Q193" t="s">
        <v>1587</v>
      </c>
      <c r="S193" t="s">
        <v>1472</v>
      </c>
      <c r="AA193" t="s">
        <v>1329</v>
      </c>
    </row>
    <row r="194" spans="1:27">
      <c r="A194" t="s">
        <v>331</v>
      </c>
      <c r="B194" t="s">
        <v>260</v>
      </c>
      <c r="C194" t="s">
        <v>332</v>
      </c>
      <c r="D194" t="s">
        <v>1149</v>
      </c>
      <c r="E194" t="s">
        <v>300</v>
      </c>
      <c r="H194" t="s">
        <v>1338</v>
      </c>
      <c r="I194" t="s">
        <v>1339</v>
      </c>
      <c r="J194" t="s">
        <v>1464</v>
      </c>
      <c r="K194" t="s">
        <v>1465</v>
      </c>
      <c r="M194" t="s">
        <v>1169</v>
      </c>
      <c r="N194" t="s">
        <v>1588</v>
      </c>
      <c r="O194" t="s">
        <v>1174</v>
      </c>
      <c r="P194" t="s">
        <v>1535</v>
      </c>
      <c r="Q194" t="s">
        <v>1477</v>
      </c>
      <c r="S194" t="s">
        <v>1478</v>
      </c>
      <c r="AA194" t="s">
        <v>1329</v>
      </c>
    </row>
    <row r="195" spans="1:27">
      <c r="A195" t="s">
        <v>333</v>
      </c>
      <c r="B195" t="s">
        <v>260</v>
      </c>
      <c r="C195" t="s">
        <v>335</v>
      </c>
      <c r="D195" t="s">
        <v>1149</v>
      </c>
      <c r="E195" t="s">
        <v>334</v>
      </c>
      <c r="H195" t="s">
        <v>1338</v>
      </c>
      <c r="I195" t="s">
        <v>1339</v>
      </c>
      <c r="J195" t="s">
        <v>1464</v>
      </c>
      <c r="K195" t="s">
        <v>1465</v>
      </c>
      <c r="M195" t="s">
        <v>1169</v>
      </c>
      <c r="N195" t="s">
        <v>1589</v>
      </c>
      <c r="O195" t="s">
        <v>1174</v>
      </c>
      <c r="P195" t="s">
        <v>1535</v>
      </c>
      <c r="Q195" t="s">
        <v>1590</v>
      </c>
      <c r="S195" t="s">
        <v>1591</v>
      </c>
    </row>
    <row r="196" spans="1:27">
      <c r="A196" t="s">
        <v>328</v>
      </c>
      <c r="B196" t="s">
        <v>255</v>
      </c>
      <c r="C196" t="s">
        <v>1592</v>
      </c>
      <c r="D196" t="s">
        <v>1149</v>
      </c>
      <c r="E196" t="s">
        <v>273</v>
      </c>
      <c r="H196" t="s">
        <v>1338</v>
      </c>
      <c r="I196" t="s">
        <v>1339</v>
      </c>
      <c r="J196" t="s">
        <v>1464</v>
      </c>
      <c r="K196" t="s">
        <v>1465</v>
      </c>
      <c r="M196" t="s">
        <v>1169</v>
      </c>
      <c r="N196" t="s">
        <v>1593</v>
      </c>
      <c r="O196" t="s">
        <v>1174</v>
      </c>
      <c r="P196" t="s">
        <v>1535</v>
      </c>
      <c r="Q196" t="s">
        <v>1594</v>
      </c>
      <c r="S196" t="s">
        <v>1484</v>
      </c>
      <c r="AA196" t="s">
        <v>1329</v>
      </c>
    </row>
    <row r="197" spans="1:27">
      <c r="A197" t="s">
        <v>336</v>
      </c>
      <c r="B197" t="s">
        <v>260</v>
      </c>
      <c r="C197" t="s">
        <v>338</v>
      </c>
      <c r="D197" t="s">
        <v>1149</v>
      </c>
      <c r="E197" t="s">
        <v>337</v>
      </c>
      <c r="H197" t="s">
        <v>1338</v>
      </c>
      <c r="I197" t="s">
        <v>1339</v>
      </c>
      <c r="J197" t="s">
        <v>1464</v>
      </c>
      <c r="K197" t="s">
        <v>1465</v>
      </c>
      <c r="M197" t="s">
        <v>1169</v>
      </c>
      <c r="N197" t="s">
        <v>1595</v>
      </c>
      <c r="O197" t="s">
        <v>1174</v>
      </c>
      <c r="P197" t="s">
        <v>1535</v>
      </c>
      <c r="Q197" t="s">
        <v>1596</v>
      </c>
      <c r="S197" t="s">
        <v>1493</v>
      </c>
      <c r="AA197" t="s">
        <v>1329</v>
      </c>
    </row>
    <row r="198" spans="1:27">
      <c r="A198" t="s">
        <v>339</v>
      </c>
      <c r="B198" t="s">
        <v>260</v>
      </c>
      <c r="C198" t="s">
        <v>341</v>
      </c>
      <c r="D198" t="s">
        <v>1149</v>
      </c>
      <c r="E198" t="s">
        <v>340</v>
      </c>
      <c r="H198" t="s">
        <v>1338</v>
      </c>
      <c r="I198" t="s">
        <v>1339</v>
      </c>
      <c r="J198" t="s">
        <v>1464</v>
      </c>
      <c r="K198" t="s">
        <v>1465</v>
      </c>
      <c r="M198" t="s">
        <v>1169</v>
      </c>
      <c r="N198" t="s">
        <v>1597</v>
      </c>
      <c r="O198" t="s">
        <v>1174</v>
      </c>
      <c r="P198" t="s">
        <v>1535</v>
      </c>
      <c r="Q198" t="s">
        <v>1598</v>
      </c>
      <c r="S198" t="s">
        <v>1499</v>
      </c>
      <c r="AA198" t="s">
        <v>1329</v>
      </c>
    </row>
    <row r="199" spans="1:27">
      <c r="A199" t="s">
        <v>342</v>
      </c>
      <c r="B199" t="s">
        <v>255</v>
      </c>
      <c r="C199" t="s">
        <v>344</v>
      </c>
      <c r="D199" t="s">
        <v>1149</v>
      </c>
      <c r="E199" t="s">
        <v>343</v>
      </c>
      <c r="H199" t="s">
        <v>1338</v>
      </c>
      <c r="I199" t="s">
        <v>1339</v>
      </c>
      <c r="J199" t="s">
        <v>1464</v>
      </c>
      <c r="K199" t="s">
        <v>1465</v>
      </c>
      <c r="M199" t="s">
        <v>1169</v>
      </c>
      <c r="N199" t="s">
        <v>1599</v>
      </c>
      <c r="O199" t="s">
        <v>1174</v>
      </c>
      <c r="P199" t="s">
        <v>1535</v>
      </c>
      <c r="Q199" t="s">
        <v>1600</v>
      </c>
      <c r="S199" t="s">
        <v>1505</v>
      </c>
      <c r="AA199" t="s">
        <v>1329</v>
      </c>
    </row>
    <row r="200" spans="1:27">
      <c r="A200" t="s">
        <v>345</v>
      </c>
      <c r="B200" t="s">
        <v>268</v>
      </c>
      <c r="C200" t="s">
        <v>346</v>
      </c>
      <c r="D200" t="s">
        <v>1149</v>
      </c>
      <c r="E200" t="s">
        <v>262</v>
      </c>
      <c r="H200" t="s">
        <v>1338</v>
      </c>
      <c r="I200" t="s">
        <v>1339</v>
      </c>
      <c r="J200" t="s">
        <v>1464</v>
      </c>
      <c r="K200" t="s">
        <v>1465</v>
      </c>
      <c r="M200" t="s">
        <v>1169</v>
      </c>
      <c r="N200" t="s">
        <v>1473</v>
      </c>
      <c r="O200" t="s">
        <v>1174</v>
      </c>
      <c r="P200" t="s">
        <v>1601</v>
      </c>
      <c r="Q200" t="s">
        <v>1602</v>
      </c>
      <c r="S200" t="s">
        <v>1475</v>
      </c>
      <c r="AA200" t="s">
        <v>1329</v>
      </c>
    </row>
    <row r="201" spans="1:27">
      <c r="A201" t="s">
        <v>347</v>
      </c>
      <c r="B201" t="s">
        <v>268</v>
      </c>
      <c r="C201" t="s">
        <v>348</v>
      </c>
      <c r="D201" t="s">
        <v>1149</v>
      </c>
      <c r="E201" t="s">
        <v>300</v>
      </c>
      <c r="H201" t="s">
        <v>1338</v>
      </c>
      <c r="I201" t="s">
        <v>1339</v>
      </c>
      <c r="J201" t="s">
        <v>1464</v>
      </c>
      <c r="K201" t="s">
        <v>1465</v>
      </c>
      <c r="M201" t="s">
        <v>1169</v>
      </c>
      <c r="N201" t="s">
        <v>1603</v>
      </c>
      <c r="O201" t="s">
        <v>1174</v>
      </c>
      <c r="P201" t="s">
        <v>1601</v>
      </c>
      <c r="Q201" t="s">
        <v>1604</v>
      </c>
      <c r="S201" t="s">
        <v>1478</v>
      </c>
      <c r="AA201" t="s">
        <v>1329</v>
      </c>
    </row>
    <row r="202" spans="1:27">
      <c r="A202" t="s">
        <v>408</v>
      </c>
      <c r="B202" t="s">
        <v>266</v>
      </c>
      <c r="C202" t="s">
        <v>409</v>
      </c>
      <c r="D202" t="s">
        <v>1149</v>
      </c>
      <c r="E202" t="s">
        <v>273</v>
      </c>
      <c r="H202" t="s">
        <v>1338</v>
      </c>
      <c r="I202" t="s">
        <v>1339</v>
      </c>
      <c r="J202" t="s">
        <v>1464</v>
      </c>
      <c r="K202" t="s">
        <v>1465</v>
      </c>
      <c r="M202" t="s">
        <v>1169</v>
      </c>
      <c r="N202" t="s">
        <v>1605</v>
      </c>
      <c r="O202" t="s">
        <v>1174</v>
      </c>
      <c r="P202" t="s">
        <v>1606</v>
      </c>
      <c r="Q202" t="s">
        <v>1474</v>
      </c>
      <c r="S202" t="s">
        <v>1475</v>
      </c>
      <c r="AA202" t="s">
        <v>1329</v>
      </c>
    </row>
    <row r="203" spans="1:27">
      <c r="A203" t="s">
        <v>408</v>
      </c>
      <c r="B203" t="s">
        <v>266</v>
      </c>
      <c r="C203" t="s">
        <v>411</v>
      </c>
      <c r="D203" t="s">
        <v>1149</v>
      </c>
      <c r="E203" t="s">
        <v>410</v>
      </c>
      <c r="H203" t="s">
        <v>1338</v>
      </c>
      <c r="I203" t="s">
        <v>1339</v>
      </c>
      <c r="J203" t="s">
        <v>1464</v>
      </c>
      <c r="K203" t="s">
        <v>1465</v>
      </c>
      <c r="M203" t="s">
        <v>1169</v>
      </c>
      <c r="N203" t="s">
        <v>1607</v>
      </c>
      <c r="O203" t="s">
        <v>1174</v>
      </c>
      <c r="P203" t="s">
        <v>1606</v>
      </c>
      <c r="Q203" t="s">
        <v>1604</v>
      </c>
      <c r="S203" t="s">
        <v>1478</v>
      </c>
      <c r="AA203" t="s">
        <v>1329</v>
      </c>
    </row>
    <row r="204" spans="1:27">
      <c r="A204" t="s">
        <v>408</v>
      </c>
      <c r="B204" t="s">
        <v>266</v>
      </c>
      <c r="C204" t="s">
        <v>413</v>
      </c>
      <c r="D204" t="s">
        <v>1149</v>
      </c>
      <c r="E204" t="s">
        <v>412</v>
      </c>
      <c r="H204" t="s">
        <v>1338</v>
      </c>
      <c r="I204" t="s">
        <v>1339</v>
      </c>
      <c r="J204" t="s">
        <v>1464</v>
      </c>
      <c r="K204" t="s">
        <v>1465</v>
      </c>
      <c r="M204" t="s">
        <v>1169</v>
      </c>
      <c r="N204" t="s">
        <v>1608</v>
      </c>
      <c r="O204" t="s">
        <v>1174</v>
      </c>
      <c r="P204" t="s">
        <v>1606</v>
      </c>
      <c r="Q204" t="s">
        <v>1609</v>
      </c>
      <c r="S204" t="s">
        <v>1484</v>
      </c>
      <c r="AA204" t="s">
        <v>1329</v>
      </c>
    </row>
    <row r="205" spans="1:27">
      <c r="A205" t="s">
        <v>1610</v>
      </c>
      <c r="B205" t="s">
        <v>263</v>
      </c>
      <c r="C205" t="s">
        <v>1611</v>
      </c>
      <c r="D205" t="s">
        <v>1149</v>
      </c>
      <c r="E205" t="s">
        <v>282</v>
      </c>
      <c r="H205" t="s">
        <v>1338</v>
      </c>
      <c r="I205" t="s">
        <v>1339</v>
      </c>
      <c r="J205" t="s">
        <v>1464</v>
      </c>
      <c r="K205" t="s">
        <v>1465</v>
      </c>
      <c r="M205" t="s">
        <v>1169</v>
      </c>
      <c r="N205" t="s">
        <v>1612</v>
      </c>
      <c r="O205" t="s">
        <v>1174</v>
      </c>
      <c r="P205" t="s">
        <v>1606</v>
      </c>
      <c r="Q205" t="s">
        <v>1613</v>
      </c>
      <c r="S205" t="s">
        <v>1493</v>
      </c>
      <c r="AA205" t="s">
        <v>1329</v>
      </c>
    </row>
    <row r="206" spans="1:27">
      <c r="A206" t="s">
        <v>414</v>
      </c>
      <c r="B206" t="s">
        <v>263</v>
      </c>
      <c r="C206" t="s">
        <v>415</v>
      </c>
      <c r="D206" t="s">
        <v>1149</v>
      </c>
      <c r="E206" t="s">
        <v>262</v>
      </c>
      <c r="H206" t="s">
        <v>1338</v>
      </c>
      <c r="I206" t="s">
        <v>1339</v>
      </c>
      <c r="J206" t="s">
        <v>1464</v>
      </c>
      <c r="K206" t="s">
        <v>1465</v>
      </c>
      <c r="M206" t="s">
        <v>1169</v>
      </c>
      <c r="N206" t="s">
        <v>1473</v>
      </c>
      <c r="O206" t="s">
        <v>1174</v>
      </c>
      <c r="P206" t="s">
        <v>1614</v>
      </c>
      <c r="Q206" t="s">
        <v>1474</v>
      </c>
      <c r="S206" t="s">
        <v>1475</v>
      </c>
      <c r="AA206" t="s">
        <v>1329</v>
      </c>
    </row>
    <row r="207" spans="1:27">
      <c r="A207" t="s">
        <v>416</v>
      </c>
      <c r="B207" t="s">
        <v>263</v>
      </c>
      <c r="C207" t="s">
        <v>418</v>
      </c>
      <c r="D207" t="s">
        <v>1149</v>
      </c>
      <c r="E207" t="s">
        <v>417</v>
      </c>
      <c r="H207" t="s">
        <v>1338</v>
      </c>
      <c r="I207" t="s">
        <v>1339</v>
      </c>
      <c r="J207" t="s">
        <v>1464</v>
      </c>
      <c r="K207" t="s">
        <v>1465</v>
      </c>
      <c r="M207" t="s">
        <v>1169</v>
      </c>
      <c r="N207" t="s">
        <v>1615</v>
      </c>
      <c r="O207" t="s">
        <v>1174</v>
      </c>
      <c r="P207" t="s">
        <v>1614</v>
      </c>
      <c r="Q207" t="s">
        <v>1477</v>
      </c>
      <c r="S207" t="s">
        <v>1478</v>
      </c>
      <c r="AA207" t="s">
        <v>1329</v>
      </c>
    </row>
    <row r="208" spans="1:27">
      <c r="A208" t="s">
        <v>419</v>
      </c>
      <c r="B208" t="s">
        <v>294</v>
      </c>
      <c r="C208" t="s">
        <v>420</v>
      </c>
      <c r="D208" t="s">
        <v>1149</v>
      </c>
      <c r="E208" t="s">
        <v>282</v>
      </c>
      <c r="H208" t="s">
        <v>1338</v>
      </c>
      <c r="I208" t="s">
        <v>1339</v>
      </c>
      <c r="J208" t="s">
        <v>1464</v>
      </c>
      <c r="K208" t="s">
        <v>1465</v>
      </c>
      <c r="M208" t="s">
        <v>1169</v>
      </c>
      <c r="N208" t="s">
        <v>1616</v>
      </c>
      <c r="O208" t="s">
        <v>1174</v>
      </c>
      <c r="P208" t="s">
        <v>1614</v>
      </c>
      <c r="Q208" t="s">
        <v>1617</v>
      </c>
      <c r="S208" t="s">
        <v>1493</v>
      </c>
      <c r="AA208" t="s">
        <v>1329</v>
      </c>
    </row>
    <row r="209" spans="1:27">
      <c r="A209" t="s">
        <v>421</v>
      </c>
      <c r="B209" t="s">
        <v>294</v>
      </c>
      <c r="C209" t="s">
        <v>422</v>
      </c>
      <c r="D209" t="s">
        <v>1149</v>
      </c>
      <c r="E209" t="s">
        <v>262</v>
      </c>
      <c r="H209" t="s">
        <v>1338</v>
      </c>
      <c r="I209" t="s">
        <v>1339</v>
      </c>
      <c r="J209" t="s">
        <v>1464</v>
      </c>
      <c r="K209" t="s">
        <v>1465</v>
      </c>
      <c r="M209" t="s">
        <v>1169</v>
      </c>
      <c r="N209" t="s">
        <v>1605</v>
      </c>
      <c r="O209" t="s">
        <v>1174</v>
      </c>
      <c r="P209" t="s">
        <v>1618</v>
      </c>
      <c r="Q209" t="s">
        <v>1474</v>
      </c>
      <c r="S209" t="s">
        <v>1475</v>
      </c>
      <c r="AA209" t="s">
        <v>1329</v>
      </c>
    </row>
    <row r="210" spans="1:27">
      <c r="A210" t="s">
        <v>423</v>
      </c>
      <c r="B210" t="s">
        <v>294</v>
      </c>
      <c r="C210" t="s">
        <v>424</v>
      </c>
      <c r="D210" t="s">
        <v>1149</v>
      </c>
      <c r="E210" t="s">
        <v>417</v>
      </c>
      <c r="H210" t="s">
        <v>1338</v>
      </c>
      <c r="I210" t="s">
        <v>1339</v>
      </c>
      <c r="J210" t="s">
        <v>1464</v>
      </c>
      <c r="K210" t="s">
        <v>1465</v>
      </c>
      <c r="M210" t="s">
        <v>1169</v>
      </c>
      <c r="N210" t="s">
        <v>1619</v>
      </c>
      <c r="O210" t="s">
        <v>1174</v>
      </c>
      <c r="P210" t="s">
        <v>1618</v>
      </c>
      <c r="Q210" t="s">
        <v>1604</v>
      </c>
      <c r="S210" t="s">
        <v>1478</v>
      </c>
      <c r="AA210" t="s">
        <v>1329</v>
      </c>
    </row>
    <row r="211" spans="1:27">
      <c r="A211" t="s">
        <v>434</v>
      </c>
      <c r="B211" t="s">
        <v>1511</v>
      </c>
      <c r="C211" t="s">
        <v>435</v>
      </c>
      <c r="D211" t="s">
        <v>1149</v>
      </c>
      <c r="E211" t="s">
        <v>273</v>
      </c>
      <c r="H211" t="s">
        <v>1338</v>
      </c>
      <c r="I211" t="s">
        <v>1339</v>
      </c>
      <c r="J211" t="s">
        <v>1464</v>
      </c>
      <c r="K211" t="s">
        <v>1465</v>
      </c>
      <c r="M211" t="s">
        <v>1169</v>
      </c>
      <c r="N211" t="s">
        <v>1620</v>
      </c>
      <c r="O211" t="s">
        <v>1174</v>
      </c>
      <c r="P211" t="s">
        <v>1621</v>
      </c>
      <c r="Q211" t="s">
        <v>1622</v>
      </c>
      <c r="S211" t="s">
        <v>1529</v>
      </c>
      <c r="AA211" t="s">
        <v>1329</v>
      </c>
    </row>
    <row r="212" spans="1:27">
      <c r="A212" t="s">
        <v>436</v>
      </c>
      <c r="B212" t="s">
        <v>258</v>
      </c>
      <c r="C212" t="s">
        <v>438</v>
      </c>
      <c r="D212" t="s">
        <v>1130</v>
      </c>
      <c r="E212" t="s">
        <v>437</v>
      </c>
      <c r="H212" t="s">
        <v>1338</v>
      </c>
      <c r="I212" t="s">
        <v>1339</v>
      </c>
      <c r="J212" t="s">
        <v>1464</v>
      </c>
      <c r="K212" t="s">
        <v>1465</v>
      </c>
      <c r="M212" t="s">
        <v>1169</v>
      </c>
      <c r="N212" t="s">
        <v>1623</v>
      </c>
      <c r="O212" t="s">
        <v>1174</v>
      </c>
      <c r="P212" t="s">
        <v>1624</v>
      </c>
      <c r="Q212" t="s">
        <v>1625</v>
      </c>
      <c r="S212" t="s">
        <v>1443</v>
      </c>
      <c r="AA212" t="s">
        <v>1329</v>
      </c>
    </row>
    <row r="213" spans="1:27">
      <c r="A213" t="s">
        <v>394</v>
      </c>
      <c r="B213" t="s">
        <v>255</v>
      </c>
      <c r="C213" t="s">
        <v>396</v>
      </c>
      <c r="D213" t="s">
        <v>1130</v>
      </c>
      <c r="E213" t="s">
        <v>395</v>
      </c>
      <c r="H213" t="s">
        <v>1338</v>
      </c>
      <c r="I213" t="s">
        <v>1339</v>
      </c>
      <c r="J213" t="s">
        <v>1464</v>
      </c>
      <c r="K213" t="s">
        <v>1465</v>
      </c>
      <c r="M213" t="s">
        <v>1169</v>
      </c>
      <c r="N213" t="s">
        <v>1626</v>
      </c>
      <c r="O213" t="s">
        <v>1174</v>
      </c>
      <c r="P213" t="s">
        <v>1627</v>
      </c>
      <c r="Q213" t="s">
        <v>1628</v>
      </c>
      <c r="S213" t="s">
        <v>1350</v>
      </c>
      <c r="AA213" t="s">
        <v>1329</v>
      </c>
    </row>
    <row r="214" spans="1:27">
      <c r="A214" t="s">
        <v>425</v>
      </c>
      <c r="B214" t="s">
        <v>258</v>
      </c>
      <c r="C214" t="s">
        <v>427</v>
      </c>
      <c r="D214" t="s">
        <v>1149</v>
      </c>
      <c r="E214" t="s">
        <v>426</v>
      </c>
      <c r="H214" t="s">
        <v>1338</v>
      </c>
      <c r="I214" t="s">
        <v>1339</v>
      </c>
      <c r="J214" t="s">
        <v>1464</v>
      </c>
      <c r="K214" t="s">
        <v>1465</v>
      </c>
      <c r="M214" t="s">
        <v>1169</v>
      </c>
      <c r="N214" t="s">
        <v>1629</v>
      </c>
      <c r="O214" t="s">
        <v>1174</v>
      </c>
      <c r="P214" t="s">
        <v>1630</v>
      </c>
      <c r="Q214" t="s">
        <v>1631</v>
      </c>
      <c r="S214" t="s">
        <v>1632</v>
      </c>
      <c r="AA214" t="s">
        <v>1329</v>
      </c>
    </row>
    <row r="215" spans="1:27">
      <c r="A215" t="s">
        <v>425</v>
      </c>
      <c r="B215" t="s">
        <v>260</v>
      </c>
      <c r="C215" t="s">
        <v>1633</v>
      </c>
      <c r="D215" t="s">
        <v>1149</v>
      </c>
      <c r="E215" t="s">
        <v>1634</v>
      </c>
      <c r="H215" t="s">
        <v>1338</v>
      </c>
      <c r="I215" t="s">
        <v>1339</v>
      </c>
      <c r="J215" t="s">
        <v>1464</v>
      </c>
      <c r="K215" t="s">
        <v>1465</v>
      </c>
      <c r="M215" t="s">
        <v>1169</v>
      </c>
      <c r="N215" t="s">
        <v>1635</v>
      </c>
      <c r="O215" t="s">
        <v>1174</v>
      </c>
      <c r="P215" t="s">
        <v>1630</v>
      </c>
      <c r="Q215" t="s">
        <v>1636</v>
      </c>
      <c r="S215" t="s">
        <v>1637</v>
      </c>
      <c r="AA215" t="s">
        <v>1329</v>
      </c>
    </row>
    <row r="216" spans="1:27">
      <c r="A216" t="s">
        <v>478</v>
      </c>
      <c r="B216" t="s">
        <v>268</v>
      </c>
      <c r="C216" t="s">
        <v>480</v>
      </c>
      <c r="D216" t="s">
        <v>1149</v>
      </c>
      <c r="E216" t="s">
        <v>479</v>
      </c>
      <c r="H216" t="s">
        <v>1338</v>
      </c>
      <c r="I216" t="s">
        <v>1339</v>
      </c>
      <c r="J216" t="s">
        <v>1638</v>
      </c>
      <c r="K216" t="s">
        <v>1639</v>
      </c>
      <c r="M216" t="s">
        <v>1182</v>
      </c>
      <c r="N216" t="s">
        <v>1640</v>
      </c>
      <c r="O216" t="s">
        <v>1163</v>
      </c>
      <c r="P216" t="s">
        <v>1641</v>
      </c>
      <c r="Q216" t="s">
        <v>1642</v>
      </c>
      <c r="S216" t="s">
        <v>1502</v>
      </c>
    </row>
    <row r="217" spans="1:27">
      <c r="A217" t="s">
        <v>481</v>
      </c>
      <c r="B217" t="s">
        <v>277</v>
      </c>
      <c r="C217" t="s">
        <v>483</v>
      </c>
      <c r="D217" t="s">
        <v>1149</v>
      </c>
      <c r="E217" t="s">
        <v>482</v>
      </c>
      <c r="H217" t="s">
        <v>1338</v>
      </c>
      <c r="I217" t="s">
        <v>1339</v>
      </c>
      <c r="J217" t="s">
        <v>1638</v>
      </c>
      <c r="K217" t="s">
        <v>1639</v>
      </c>
      <c r="M217" t="s">
        <v>113</v>
      </c>
      <c r="N217" t="s">
        <v>1643</v>
      </c>
      <c r="O217" t="s">
        <v>1174</v>
      </c>
      <c r="P217" t="s">
        <v>1644</v>
      </c>
      <c r="Q217" t="s">
        <v>1645</v>
      </c>
      <c r="S217" t="s">
        <v>1376</v>
      </c>
    </row>
    <row r="218" spans="1:27">
      <c r="A218" t="s">
        <v>484</v>
      </c>
      <c r="B218" t="s">
        <v>271</v>
      </c>
      <c r="C218" t="s">
        <v>486</v>
      </c>
      <c r="D218" t="s">
        <v>1149</v>
      </c>
      <c r="E218" t="s">
        <v>485</v>
      </c>
      <c r="H218" t="s">
        <v>1338</v>
      </c>
      <c r="I218" t="s">
        <v>1339</v>
      </c>
      <c r="J218" t="s">
        <v>1638</v>
      </c>
      <c r="K218" t="s">
        <v>1639</v>
      </c>
      <c r="M218" t="s">
        <v>113</v>
      </c>
      <c r="N218" t="s">
        <v>1646</v>
      </c>
      <c r="O218" t="s">
        <v>1647</v>
      </c>
      <c r="P218" t="s">
        <v>1648</v>
      </c>
      <c r="Q218" t="s">
        <v>1649</v>
      </c>
      <c r="S218" t="s">
        <v>1502</v>
      </c>
    </row>
    <row r="219" spans="1:27">
      <c r="A219" t="s">
        <v>487</v>
      </c>
      <c r="B219" t="s">
        <v>294</v>
      </c>
      <c r="C219" t="s">
        <v>489</v>
      </c>
      <c r="D219" t="s">
        <v>1130</v>
      </c>
      <c r="E219" t="s">
        <v>488</v>
      </c>
      <c r="H219" t="s">
        <v>1338</v>
      </c>
      <c r="I219" t="s">
        <v>1339</v>
      </c>
      <c r="J219" t="s">
        <v>1638</v>
      </c>
      <c r="K219" t="s">
        <v>1639</v>
      </c>
      <c r="M219" t="s">
        <v>1169</v>
      </c>
      <c r="N219" t="s">
        <v>1650</v>
      </c>
      <c r="O219" t="s">
        <v>1651</v>
      </c>
      <c r="P219" t="s">
        <v>1648</v>
      </c>
      <c r="S219" t="s">
        <v>1450</v>
      </c>
      <c r="AA219" t="s">
        <v>1329</v>
      </c>
    </row>
    <row r="220" spans="1:27">
      <c r="A220" t="s">
        <v>490</v>
      </c>
      <c r="B220" t="s">
        <v>266</v>
      </c>
      <c r="C220" t="s">
        <v>492</v>
      </c>
      <c r="D220" t="s">
        <v>1149</v>
      </c>
      <c r="E220" t="s">
        <v>491</v>
      </c>
      <c r="H220" t="s">
        <v>1338</v>
      </c>
      <c r="I220" t="s">
        <v>1339</v>
      </c>
      <c r="J220" t="s">
        <v>1638</v>
      </c>
      <c r="K220" t="s">
        <v>1639</v>
      </c>
      <c r="M220" t="s">
        <v>113</v>
      </c>
      <c r="N220" t="s">
        <v>1652</v>
      </c>
      <c r="O220" t="s">
        <v>1653</v>
      </c>
      <c r="P220" t="s">
        <v>1654</v>
      </c>
      <c r="S220" t="s">
        <v>1412</v>
      </c>
    </row>
    <row r="221" spans="1:27">
      <c r="A221" t="s">
        <v>493</v>
      </c>
      <c r="B221" t="s">
        <v>255</v>
      </c>
      <c r="C221" t="s">
        <v>494</v>
      </c>
      <c r="D221" t="s">
        <v>1149</v>
      </c>
      <c r="E221" t="s">
        <v>485</v>
      </c>
      <c r="H221" t="s">
        <v>1338</v>
      </c>
      <c r="I221" t="s">
        <v>1339</v>
      </c>
      <c r="J221" t="s">
        <v>1638</v>
      </c>
      <c r="K221" t="s">
        <v>1639</v>
      </c>
      <c r="N221" t="s">
        <v>1655</v>
      </c>
      <c r="O221" t="s">
        <v>1647</v>
      </c>
      <c r="P221" t="s">
        <v>1656</v>
      </c>
      <c r="Q221" t="s">
        <v>1657</v>
      </c>
      <c r="S221" t="s">
        <v>1395</v>
      </c>
    </row>
    <row r="222" spans="1:27">
      <c r="A222" t="s">
        <v>478</v>
      </c>
      <c r="B222" t="s">
        <v>268</v>
      </c>
      <c r="C222" t="s">
        <v>480</v>
      </c>
      <c r="D222" t="s">
        <v>1149</v>
      </c>
      <c r="E222" t="s">
        <v>479</v>
      </c>
      <c r="H222" t="s">
        <v>1338</v>
      </c>
      <c r="I222" t="s">
        <v>1339</v>
      </c>
      <c r="J222" t="s">
        <v>1159</v>
      </c>
      <c r="K222" t="s">
        <v>1658</v>
      </c>
      <c r="M222" t="s">
        <v>1182</v>
      </c>
      <c r="N222" t="s">
        <v>1640</v>
      </c>
      <c r="O222" t="s">
        <v>1163</v>
      </c>
      <c r="P222" t="s">
        <v>1641</v>
      </c>
      <c r="Q222" t="s">
        <v>1642</v>
      </c>
      <c r="S222" t="s">
        <v>1502</v>
      </c>
    </row>
    <row r="223" spans="1:27">
      <c r="A223" t="s">
        <v>481</v>
      </c>
      <c r="B223" t="s">
        <v>277</v>
      </c>
      <c r="C223" t="s">
        <v>483</v>
      </c>
      <c r="D223" t="s">
        <v>1149</v>
      </c>
      <c r="E223" t="s">
        <v>482</v>
      </c>
      <c r="H223" t="s">
        <v>1338</v>
      </c>
      <c r="I223" t="s">
        <v>1339</v>
      </c>
      <c r="J223" t="s">
        <v>1159</v>
      </c>
      <c r="K223" t="s">
        <v>1658</v>
      </c>
      <c r="M223" t="s">
        <v>113</v>
      </c>
      <c r="N223" t="s">
        <v>1643</v>
      </c>
      <c r="O223" t="s">
        <v>1174</v>
      </c>
      <c r="P223" t="s">
        <v>1644</v>
      </c>
      <c r="Q223" t="s">
        <v>1645</v>
      </c>
      <c r="S223" t="s">
        <v>1376</v>
      </c>
    </row>
    <row r="224" spans="1:27">
      <c r="A224" t="s">
        <v>484</v>
      </c>
      <c r="B224" t="s">
        <v>271</v>
      </c>
      <c r="C224" t="s">
        <v>486</v>
      </c>
      <c r="D224" t="s">
        <v>1149</v>
      </c>
      <c r="E224" t="s">
        <v>485</v>
      </c>
      <c r="H224" t="s">
        <v>1338</v>
      </c>
      <c r="I224" t="s">
        <v>1339</v>
      </c>
      <c r="J224" t="s">
        <v>1159</v>
      </c>
      <c r="K224" t="s">
        <v>1658</v>
      </c>
      <c r="M224" t="s">
        <v>113</v>
      </c>
      <c r="N224" t="s">
        <v>1646</v>
      </c>
      <c r="O224" t="s">
        <v>1647</v>
      </c>
      <c r="P224" t="s">
        <v>1648</v>
      </c>
      <c r="Q224" t="s">
        <v>1649</v>
      </c>
      <c r="S224" t="s">
        <v>1502</v>
      </c>
    </row>
    <row r="225" spans="1:27">
      <c r="A225" t="s">
        <v>487</v>
      </c>
      <c r="B225" t="s">
        <v>294</v>
      </c>
      <c r="C225" t="s">
        <v>489</v>
      </c>
      <c r="D225" t="s">
        <v>1130</v>
      </c>
      <c r="E225" t="s">
        <v>488</v>
      </c>
      <c r="H225" t="s">
        <v>1338</v>
      </c>
      <c r="I225" t="s">
        <v>1339</v>
      </c>
      <c r="J225" t="s">
        <v>1159</v>
      </c>
      <c r="K225" t="s">
        <v>1658</v>
      </c>
      <c r="M225" t="s">
        <v>1169</v>
      </c>
      <c r="N225" t="s">
        <v>1650</v>
      </c>
      <c r="O225" t="s">
        <v>1651</v>
      </c>
      <c r="P225" t="s">
        <v>1648</v>
      </c>
      <c r="S225" t="s">
        <v>1450</v>
      </c>
      <c r="AA225" t="s">
        <v>1329</v>
      </c>
    </row>
    <row r="226" spans="1:27">
      <c r="A226" t="s">
        <v>490</v>
      </c>
      <c r="B226" t="s">
        <v>266</v>
      </c>
      <c r="C226" t="s">
        <v>492</v>
      </c>
      <c r="D226" t="s">
        <v>1149</v>
      </c>
      <c r="E226" t="s">
        <v>491</v>
      </c>
      <c r="H226" t="s">
        <v>1338</v>
      </c>
      <c r="I226" t="s">
        <v>1339</v>
      </c>
      <c r="J226" t="s">
        <v>1159</v>
      </c>
      <c r="K226" t="s">
        <v>1658</v>
      </c>
      <c r="M226" t="s">
        <v>113</v>
      </c>
      <c r="N226" t="s">
        <v>1652</v>
      </c>
      <c r="O226" t="s">
        <v>1653</v>
      </c>
      <c r="P226" t="s">
        <v>1654</v>
      </c>
      <c r="S226" t="s">
        <v>1412</v>
      </c>
    </row>
    <row r="227" spans="1:27">
      <c r="A227" t="s">
        <v>493</v>
      </c>
      <c r="B227" t="s">
        <v>255</v>
      </c>
      <c r="C227" t="s">
        <v>494</v>
      </c>
      <c r="D227" t="s">
        <v>1149</v>
      </c>
      <c r="E227" t="s">
        <v>485</v>
      </c>
      <c r="H227" t="s">
        <v>1338</v>
      </c>
      <c r="I227" t="s">
        <v>1339</v>
      </c>
      <c r="J227" t="s">
        <v>1159</v>
      </c>
      <c r="K227" t="s">
        <v>1658</v>
      </c>
      <c r="N227" t="s">
        <v>1655</v>
      </c>
      <c r="O227" t="s">
        <v>1647</v>
      </c>
      <c r="P227" t="s">
        <v>1656</v>
      </c>
      <c r="Q227" t="s">
        <v>1657</v>
      </c>
      <c r="S227" t="s">
        <v>1395</v>
      </c>
    </row>
    <row r="228" spans="1:27">
      <c r="A228" t="s">
        <v>559</v>
      </c>
      <c r="B228" t="s">
        <v>266</v>
      </c>
      <c r="C228" t="s">
        <v>561</v>
      </c>
      <c r="D228" t="s">
        <v>1149</v>
      </c>
      <c r="E228" t="s">
        <v>560</v>
      </c>
      <c r="H228" t="s">
        <v>1338</v>
      </c>
      <c r="I228" t="s">
        <v>1339</v>
      </c>
      <c r="J228" t="s">
        <v>1659</v>
      </c>
      <c r="K228" t="s">
        <v>1660</v>
      </c>
      <c r="M228" t="s">
        <v>1182</v>
      </c>
      <c r="N228" t="s">
        <v>1661</v>
      </c>
      <c r="O228" t="s">
        <v>1174</v>
      </c>
      <c r="P228" t="s">
        <v>1662</v>
      </c>
      <c r="Q228" t="s">
        <v>1663</v>
      </c>
      <c r="S228" t="s">
        <v>1664</v>
      </c>
    </row>
    <row r="229" spans="1:27">
      <c r="A229" t="s">
        <v>183</v>
      </c>
      <c r="B229" t="s">
        <v>258</v>
      </c>
      <c r="C229" t="s">
        <v>185</v>
      </c>
      <c r="D229" t="s">
        <v>1149</v>
      </c>
      <c r="E229" t="s">
        <v>184</v>
      </c>
      <c r="H229" t="s">
        <v>1338</v>
      </c>
      <c r="I229" t="s">
        <v>1339</v>
      </c>
      <c r="J229" t="s">
        <v>1659</v>
      </c>
      <c r="K229" t="s">
        <v>1660</v>
      </c>
      <c r="M229" t="s">
        <v>1330</v>
      </c>
      <c r="N229" t="s">
        <v>1665</v>
      </c>
      <c r="O229" t="s">
        <v>1174</v>
      </c>
      <c r="P229" t="s">
        <v>1666</v>
      </c>
      <c r="Q229" t="s">
        <v>1667</v>
      </c>
      <c r="S229" t="s">
        <v>1664</v>
      </c>
      <c r="AA229" t="s">
        <v>1329</v>
      </c>
    </row>
    <row r="230" spans="1:27">
      <c r="A230" t="s">
        <v>186</v>
      </c>
      <c r="B230" t="s">
        <v>260</v>
      </c>
      <c r="C230" t="s">
        <v>188</v>
      </c>
      <c r="D230" t="s">
        <v>1130</v>
      </c>
      <c r="E230" t="s">
        <v>187</v>
      </c>
      <c r="H230" t="s">
        <v>1338</v>
      </c>
      <c r="I230" t="s">
        <v>1339</v>
      </c>
      <c r="J230" t="s">
        <v>1659</v>
      </c>
      <c r="K230" t="s">
        <v>1660</v>
      </c>
      <c r="M230" t="s">
        <v>1330</v>
      </c>
      <c r="N230" t="s">
        <v>1668</v>
      </c>
      <c r="O230" t="s">
        <v>1174</v>
      </c>
      <c r="P230" t="s">
        <v>1669</v>
      </c>
      <c r="Q230" t="s">
        <v>1670</v>
      </c>
      <c r="S230" t="s">
        <v>1664</v>
      </c>
      <c r="AA230" t="s">
        <v>1329</v>
      </c>
    </row>
    <row r="231" spans="1:27">
      <c r="A231" t="s">
        <v>189</v>
      </c>
      <c r="B231" t="s">
        <v>255</v>
      </c>
      <c r="C231" t="s">
        <v>191</v>
      </c>
      <c r="D231" t="s">
        <v>1149</v>
      </c>
      <c r="E231" t="s">
        <v>190</v>
      </c>
      <c r="H231" t="s">
        <v>1338</v>
      </c>
      <c r="I231" t="s">
        <v>1339</v>
      </c>
      <c r="J231" t="s">
        <v>1659</v>
      </c>
      <c r="K231" t="s">
        <v>1660</v>
      </c>
      <c r="M231" t="s">
        <v>1330</v>
      </c>
      <c r="N231" t="s">
        <v>1671</v>
      </c>
      <c r="O231" t="s">
        <v>1174</v>
      </c>
      <c r="P231" t="s">
        <v>1672</v>
      </c>
      <c r="Q231" t="s">
        <v>1673</v>
      </c>
      <c r="S231" t="s">
        <v>1502</v>
      </c>
      <c r="AA231" t="s">
        <v>1329</v>
      </c>
    </row>
    <row r="232" spans="1:27">
      <c r="A232" t="s">
        <v>583</v>
      </c>
      <c r="B232" t="s">
        <v>258</v>
      </c>
      <c r="C232" t="s">
        <v>585</v>
      </c>
      <c r="D232" t="s">
        <v>1149</v>
      </c>
      <c r="E232" t="s">
        <v>584</v>
      </c>
      <c r="H232" t="s">
        <v>1338</v>
      </c>
      <c r="I232" t="s">
        <v>1339</v>
      </c>
      <c r="J232" t="s">
        <v>1659</v>
      </c>
      <c r="K232" t="s">
        <v>1660</v>
      </c>
      <c r="M232" t="s">
        <v>1330</v>
      </c>
      <c r="N232" t="s">
        <v>1674</v>
      </c>
      <c r="O232" t="s">
        <v>1174</v>
      </c>
      <c r="P232" t="s">
        <v>1675</v>
      </c>
      <c r="Q232" t="s">
        <v>1676</v>
      </c>
      <c r="S232" t="s">
        <v>1520</v>
      </c>
      <c r="AA232" t="s">
        <v>1329</v>
      </c>
    </row>
    <row r="233" spans="1:27">
      <c r="A233" t="s">
        <v>192</v>
      </c>
      <c r="B233" t="s">
        <v>255</v>
      </c>
      <c r="C233" t="s">
        <v>194</v>
      </c>
      <c r="D233" t="s">
        <v>1149</v>
      </c>
      <c r="E233" t="s">
        <v>193</v>
      </c>
      <c r="H233" t="s">
        <v>1338</v>
      </c>
      <c r="I233" t="s">
        <v>1339</v>
      </c>
      <c r="J233" t="s">
        <v>1659</v>
      </c>
      <c r="K233" t="s">
        <v>1660</v>
      </c>
      <c r="M233" t="s">
        <v>1330</v>
      </c>
      <c r="N233" t="s">
        <v>1677</v>
      </c>
      <c r="O233" t="s">
        <v>1174</v>
      </c>
      <c r="P233" t="s">
        <v>1678</v>
      </c>
      <c r="Q233" t="s">
        <v>1679</v>
      </c>
      <c r="S233" t="s">
        <v>1395</v>
      </c>
    </row>
    <row r="234" spans="1:27">
      <c r="A234" t="s">
        <v>562</v>
      </c>
      <c r="B234" t="s">
        <v>258</v>
      </c>
      <c r="C234" t="s">
        <v>564</v>
      </c>
      <c r="D234" t="s">
        <v>1149</v>
      </c>
      <c r="E234" t="s">
        <v>563</v>
      </c>
      <c r="H234" t="s">
        <v>1338</v>
      </c>
      <c r="I234" t="s">
        <v>1339</v>
      </c>
      <c r="J234" t="s">
        <v>1659</v>
      </c>
      <c r="K234" t="s">
        <v>1660</v>
      </c>
      <c r="M234" t="s">
        <v>1330</v>
      </c>
      <c r="N234" t="s">
        <v>1680</v>
      </c>
      <c r="O234" t="s">
        <v>1174</v>
      </c>
      <c r="P234" t="s">
        <v>1681</v>
      </c>
      <c r="Q234" t="s">
        <v>1679</v>
      </c>
      <c r="S234" t="s">
        <v>1395</v>
      </c>
    </row>
    <row r="235" spans="1:27">
      <c r="A235" t="s">
        <v>1682</v>
      </c>
      <c r="B235" t="s">
        <v>260</v>
      </c>
      <c r="C235" t="s">
        <v>1683</v>
      </c>
      <c r="D235" t="s">
        <v>1149</v>
      </c>
      <c r="E235" t="s">
        <v>1684</v>
      </c>
      <c r="H235" t="s">
        <v>1338</v>
      </c>
      <c r="I235" t="s">
        <v>1339</v>
      </c>
      <c r="J235" t="s">
        <v>1659</v>
      </c>
      <c r="K235" t="s">
        <v>1660</v>
      </c>
      <c r="M235" t="s">
        <v>1330</v>
      </c>
      <c r="N235" t="s">
        <v>1685</v>
      </c>
      <c r="O235" t="s">
        <v>1174</v>
      </c>
      <c r="P235" t="s">
        <v>1686</v>
      </c>
      <c r="S235" t="s">
        <v>1395</v>
      </c>
    </row>
    <row r="236" spans="1:27">
      <c r="A236" t="s">
        <v>565</v>
      </c>
      <c r="B236" t="s">
        <v>263</v>
      </c>
      <c r="C236" t="s">
        <v>567</v>
      </c>
      <c r="D236" t="s">
        <v>1149</v>
      </c>
      <c r="E236" t="s">
        <v>566</v>
      </c>
      <c r="H236" t="s">
        <v>1338</v>
      </c>
      <c r="I236" t="s">
        <v>1339</v>
      </c>
      <c r="J236" t="s">
        <v>1659</v>
      </c>
      <c r="K236" t="s">
        <v>1660</v>
      </c>
      <c r="M236" t="s">
        <v>1330</v>
      </c>
      <c r="N236" t="s">
        <v>1687</v>
      </c>
      <c r="O236" t="s">
        <v>1174</v>
      </c>
      <c r="P236" t="s">
        <v>1688</v>
      </c>
      <c r="S236" t="s">
        <v>1395</v>
      </c>
    </row>
    <row r="237" spans="1:27">
      <c r="A237" t="s">
        <v>568</v>
      </c>
      <c r="B237" t="s">
        <v>266</v>
      </c>
      <c r="C237" t="s">
        <v>570</v>
      </c>
      <c r="D237" t="s">
        <v>1149</v>
      </c>
      <c r="E237" t="s">
        <v>569</v>
      </c>
      <c r="H237" t="s">
        <v>1338</v>
      </c>
      <c r="I237" t="s">
        <v>1339</v>
      </c>
      <c r="J237" t="s">
        <v>1659</v>
      </c>
      <c r="K237" t="s">
        <v>1660</v>
      </c>
      <c r="M237" t="s">
        <v>1330</v>
      </c>
      <c r="N237" t="s">
        <v>1689</v>
      </c>
      <c r="O237" t="s">
        <v>1174</v>
      </c>
      <c r="P237" t="s">
        <v>1686</v>
      </c>
      <c r="S237" t="s">
        <v>1395</v>
      </c>
    </row>
    <row r="238" spans="1:27">
      <c r="A238" t="s">
        <v>1690</v>
      </c>
      <c r="B238" t="s">
        <v>294</v>
      </c>
      <c r="C238" t="s">
        <v>1691</v>
      </c>
      <c r="D238" t="s">
        <v>1149</v>
      </c>
      <c r="E238" t="s">
        <v>1692</v>
      </c>
      <c r="H238" t="s">
        <v>1338</v>
      </c>
      <c r="I238" t="s">
        <v>1339</v>
      </c>
      <c r="J238" t="s">
        <v>1659</v>
      </c>
      <c r="K238" t="s">
        <v>1660</v>
      </c>
      <c r="M238" t="s">
        <v>1330</v>
      </c>
      <c r="N238" t="s">
        <v>1693</v>
      </c>
      <c r="O238" t="s">
        <v>1174</v>
      </c>
      <c r="P238" t="s">
        <v>1686</v>
      </c>
      <c r="S238" t="s">
        <v>1395</v>
      </c>
    </row>
    <row r="239" spans="1:27">
      <c r="A239" t="s">
        <v>571</v>
      </c>
      <c r="B239" t="s">
        <v>268</v>
      </c>
      <c r="C239" t="s">
        <v>573</v>
      </c>
      <c r="D239" t="s">
        <v>1149</v>
      </c>
      <c r="E239" t="s">
        <v>572</v>
      </c>
      <c r="H239" t="s">
        <v>1338</v>
      </c>
      <c r="I239" t="s">
        <v>1339</v>
      </c>
      <c r="J239" t="s">
        <v>1659</v>
      </c>
      <c r="K239" t="s">
        <v>1660</v>
      </c>
      <c r="M239" t="s">
        <v>1330</v>
      </c>
      <c r="N239" t="s">
        <v>1694</v>
      </c>
      <c r="O239" t="s">
        <v>1174</v>
      </c>
      <c r="P239" t="s">
        <v>1686</v>
      </c>
      <c r="S239" t="s">
        <v>1395</v>
      </c>
    </row>
    <row r="240" spans="1:27">
      <c r="A240" t="s">
        <v>574</v>
      </c>
      <c r="B240" t="s">
        <v>271</v>
      </c>
      <c r="C240" t="s">
        <v>576</v>
      </c>
      <c r="D240" t="s">
        <v>1149</v>
      </c>
      <c r="E240" t="s">
        <v>575</v>
      </c>
      <c r="H240" t="s">
        <v>1338</v>
      </c>
      <c r="I240" t="s">
        <v>1339</v>
      </c>
      <c r="J240" t="s">
        <v>1659</v>
      </c>
      <c r="K240" t="s">
        <v>1660</v>
      </c>
      <c r="M240" t="s">
        <v>1330</v>
      </c>
      <c r="N240" t="s">
        <v>1695</v>
      </c>
      <c r="O240" t="s">
        <v>1174</v>
      </c>
      <c r="P240" t="s">
        <v>1686</v>
      </c>
      <c r="S240" t="s">
        <v>1395</v>
      </c>
    </row>
    <row r="241" spans="1:27">
      <c r="A241" t="s">
        <v>577</v>
      </c>
      <c r="B241" t="s">
        <v>274</v>
      </c>
      <c r="C241" t="s">
        <v>579</v>
      </c>
      <c r="D241" t="s">
        <v>1149</v>
      </c>
      <c r="E241" t="s">
        <v>578</v>
      </c>
      <c r="H241" t="s">
        <v>1338</v>
      </c>
      <c r="I241" t="s">
        <v>1339</v>
      </c>
      <c r="J241" t="s">
        <v>1659</v>
      </c>
      <c r="K241" t="s">
        <v>1660</v>
      </c>
      <c r="M241" t="s">
        <v>1330</v>
      </c>
      <c r="N241" t="s">
        <v>1696</v>
      </c>
      <c r="O241" t="s">
        <v>1174</v>
      </c>
      <c r="P241" t="s">
        <v>1686</v>
      </c>
      <c r="S241" t="s">
        <v>1395</v>
      </c>
    </row>
    <row r="242" spans="1:27">
      <c r="A242" t="s">
        <v>580</v>
      </c>
      <c r="B242" t="s">
        <v>277</v>
      </c>
      <c r="C242" t="s">
        <v>582</v>
      </c>
      <c r="D242" t="s">
        <v>1130</v>
      </c>
      <c r="E242" t="s">
        <v>581</v>
      </c>
      <c r="H242" t="s">
        <v>1338</v>
      </c>
      <c r="I242" t="s">
        <v>1339</v>
      </c>
      <c r="J242" t="s">
        <v>1659</v>
      </c>
      <c r="K242" t="s">
        <v>1660</v>
      </c>
      <c r="M242" t="s">
        <v>1330</v>
      </c>
      <c r="O242" t="s">
        <v>1174</v>
      </c>
      <c r="P242" t="s">
        <v>1697</v>
      </c>
      <c r="S242" t="s">
        <v>1395</v>
      </c>
    </row>
    <row r="243" spans="1:27">
      <c r="A243" t="s">
        <v>559</v>
      </c>
      <c r="B243" t="s">
        <v>266</v>
      </c>
      <c r="C243" t="s">
        <v>561</v>
      </c>
      <c r="D243" t="s">
        <v>1149</v>
      </c>
      <c r="E243" t="s">
        <v>560</v>
      </c>
      <c r="H243" t="s">
        <v>1338</v>
      </c>
      <c r="I243" t="s">
        <v>1339</v>
      </c>
      <c r="J243" t="s">
        <v>1159</v>
      </c>
      <c r="K243" t="s">
        <v>1698</v>
      </c>
      <c r="M243" t="s">
        <v>1182</v>
      </c>
      <c r="N243" t="s">
        <v>1661</v>
      </c>
      <c r="O243" t="s">
        <v>1174</v>
      </c>
      <c r="P243" t="s">
        <v>1662</v>
      </c>
      <c r="Q243" t="s">
        <v>1663</v>
      </c>
      <c r="S243" t="s">
        <v>1664</v>
      </c>
    </row>
    <row r="244" spans="1:27">
      <c r="A244" t="s">
        <v>183</v>
      </c>
      <c r="B244" t="s">
        <v>258</v>
      </c>
      <c r="C244" t="s">
        <v>185</v>
      </c>
      <c r="D244" t="s">
        <v>1149</v>
      </c>
      <c r="E244" t="s">
        <v>184</v>
      </c>
      <c r="H244" t="s">
        <v>1338</v>
      </c>
      <c r="I244" t="s">
        <v>1339</v>
      </c>
      <c r="J244" t="s">
        <v>1159</v>
      </c>
      <c r="K244" t="s">
        <v>1698</v>
      </c>
      <c r="M244" t="s">
        <v>1330</v>
      </c>
      <c r="N244" t="s">
        <v>1665</v>
      </c>
      <c r="O244" t="s">
        <v>1174</v>
      </c>
      <c r="P244" t="s">
        <v>1666</v>
      </c>
      <c r="Q244" t="s">
        <v>1667</v>
      </c>
      <c r="S244" t="s">
        <v>1664</v>
      </c>
      <c r="AA244" t="s">
        <v>1329</v>
      </c>
    </row>
    <row r="245" spans="1:27">
      <c r="A245" t="s">
        <v>186</v>
      </c>
      <c r="B245" t="s">
        <v>260</v>
      </c>
      <c r="C245" t="s">
        <v>188</v>
      </c>
      <c r="D245" t="s">
        <v>1130</v>
      </c>
      <c r="E245" t="s">
        <v>187</v>
      </c>
      <c r="H245" t="s">
        <v>1338</v>
      </c>
      <c r="I245" t="s">
        <v>1339</v>
      </c>
      <c r="J245" t="s">
        <v>1159</v>
      </c>
      <c r="K245" t="s">
        <v>1698</v>
      </c>
      <c r="M245" t="s">
        <v>1330</v>
      </c>
      <c r="N245" t="s">
        <v>1668</v>
      </c>
      <c r="O245" t="s">
        <v>1174</v>
      </c>
      <c r="P245" t="s">
        <v>1669</v>
      </c>
      <c r="Q245" t="s">
        <v>1670</v>
      </c>
      <c r="S245" t="s">
        <v>1664</v>
      </c>
      <c r="AA245" t="s">
        <v>1329</v>
      </c>
    </row>
    <row r="246" spans="1:27">
      <c r="A246" t="s">
        <v>189</v>
      </c>
      <c r="B246" t="s">
        <v>255</v>
      </c>
      <c r="C246" t="s">
        <v>191</v>
      </c>
      <c r="D246" t="s">
        <v>1149</v>
      </c>
      <c r="E246" t="s">
        <v>190</v>
      </c>
      <c r="H246" t="s">
        <v>1338</v>
      </c>
      <c r="I246" t="s">
        <v>1339</v>
      </c>
      <c r="J246" t="s">
        <v>1159</v>
      </c>
      <c r="K246" t="s">
        <v>1698</v>
      </c>
      <c r="M246" t="s">
        <v>1330</v>
      </c>
      <c r="N246" t="s">
        <v>1671</v>
      </c>
      <c r="O246" t="s">
        <v>1174</v>
      </c>
      <c r="P246" t="s">
        <v>1672</v>
      </c>
      <c r="Q246" t="s">
        <v>1673</v>
      </c>
      <c r="S246" t="s">
        <v>1502</v>
      </c>
      <c r="AA246" t="s">
        <v>1329</v>
      </c>
    </row>
    <row r="247" spans="1:27">
      <c r="A247" t="s">
        <v>583</v>
      </c>
      <c r="B247" t="s">
        <v>258</v>
      </c>
      <c r="C247" t="s">
        <v>585</v>
      </c>
      <c r="D247" t="s">
        <v>1149</v>
      </c>
      <c r="E247" t="s">
        <v>584</v>
      </c>
      <c r="H247" t="s">
        <v>1338</v>
      </c>
      <c r="I247" t="s">
        <v>1339</v>
      </c>
      <c r="J247" t="s">
        <v>1159</v>
      </c>
      <c r="K247" t="s">
        <v>1698</v>
      </c>
      <c r="M247" t="s">
        <v>1330</v>
      </c>
      <c r="N247" t="s">
        <v>1674</v>
      </c>
      <c r="O247" t="s">
        <v>1174</v>
      </c>
      <c r="P247" t="s">
        <v>1675</v>
      </c>
      <c r="Q247" t="s">
        <v>1676</v>
      </c>
      <c r="S247" t="s">
        <v>1520</v>
      </c>
      <c r="AA247" t="s">
        <v>1329</v>
      </c>
    </row>
    <row r="248" spans="1:27">
      <c r="A248" t="s">
        <v>192</v>
      </c>
      <c r="B248" t="s">
        <v>255</v>
      </c>
      <c r="C248" t="s">
        <v>194</v>
      </c>
      <c r="D248" t="s">
        <v>1149</v>
      </c>
      <c r="E248" t="s">
        <v>193</v>
      </c>
      <c r="H248" t="s">
        <v>1338</v>
      </c>
      <c r="I248" t="s">
        <v>1339</v>
      </c>
      <c r="J248" t="s">
        <v>1159</v>
      </c>
      <c r="K248" t="s">
        <v>1698</v>
      </c>
      <c r="M248" t="s">
        <v>1330</v>
      </c>
      <c r="N248" t="s">
        <v>1677</v>
      </c>
      <c r="O248" t="s">
        <v>1174</v>
      </c>
      <c r="P248" t="s">
        <v>1678</v>
      </c>
      <c r="Q248" t="s">
        <v>1679</v>
      </c>
      <c r="S248" t="s">
        <v>1395</v>
      </c>
    </row>
    <row r="249" spans="1:27">
      <c r="A249" t="s">
        <v>562</v>
      </c>
      <c r="B249" t="s">
        <v>258</v>
      </c>
      <c r="C249" t="s">
        <v>564</v>
      </c>
      <c r="D249" t="s">
        <v>1149</v>
      </c>
      <c r="E249" t="s">
        <v>563</v>
      </c>
      <c r="H249" t="s">
        <v>1338</v>
      </c>
      <c r="I249" t="s">
        <v>1339</v>
      </c>
      <c r="J249" t="s">
        <v>1159</v>
      </c>
      <c r="K249" t="s">
        <v>1698</v>
      </c>
      <c r="M249" t="s">
        <v>1330</v>
      </c>
      <c r="N249" t="s">
        <v>1680</v>
      </c>
      <c r="O249" t="s">
        <v>1174</v>
      </c>
      <c r="P249" t="s">
        <v>1681</v>
      </c>
      <c r="Q249" t="s">
        <v>1679</v>
      </c>
      <c r="S249" t="s">
        <v>1395</v>
      </c>
    </row>
    <row r="250" spans="1:27">
      <c r="A250" t="s">
        <v>1682</v>
      </c>
      <c r="B250" t="s">
        <v>260</v>
      </c>
      <c r="C250" t="s">
        <v>1683</v>
      </c>
      <c r="D250" t="s">
        <v>1149</v>
      </c>
      <c r="E250" t="s">
        <v>1684</v>
      </c>
      <c r="H250" t="s">
        <v>1338</v>
      </c>
      <c r="I250" t="s">
        <v>1339</v>
      </c>
      <c r="J250" t="s">
        <v>1159</v>
      </c>
      <c r="K250" t="s">
        <v>1698</v>
      </c>
      <c r="M250" t="s">
        <v>1330</v>
      </c>
      <c r="N250" t="s">
        <v>1685</v>
      </c>
      <c r="O250" t="s">
        <v>1174</v>
      </c>
      <c r="P250" t="s">
        <v>1686</v>
      </c>
      <c r="S250" t="s">
        <v>1395</v>
      </c>
    </row>
    <row r="251" spans="1:27">
      <c r="A251" t="s">
        <v>565</v>
      </c>
      <c r="B251" t="s">
        <v>263</v>
      </c>
      <c r="C251" t="s">
        <v>567</v>
      </c>
      <c r="D251" t="s">
        <v>1149</v>
      </c>
      <c r="E251" t="s">
        <v>566</v>
      </c>
      <c r="H251" t="s">
        <v>1338</v>
      </c>
      <c r="I251" t="s">
        <v>1339</v>
      </c>
      <c r="J251" t="s">
        <v>1159</v>
      </c>
      <c r="K251" t="s">
        <v>1698</v>
      </c>
      <c r="M251" t="s">
        <v>1330</v>
      </c>
      <c r="N251" t="s">
        <v>1687</v>
      </c>
      <c r="O251" t="s">
        <v>1174</v>
      </c>
      <c r="P251" t="s">
        <v>1688</v>
      </c>
      <c r="S251" t="s">
        <v>1395</v>
      </c>
    </row>
    <row r="252" spans="1:27">
      <c r="A252" t="s">
        <v>568</v>
      </c>
      <c r="B252" t="s">
        <v>266</v>
      </c>
      <c r="C252" t="s">
        <v>570</v>
      </c>
      <c r="D252" t="s">
        <v>1149</v>
      </c>
      <c r="E252" t="s">
        <v>569</v>
      </c>
      <c r="H252" t="s">
        <v>1338</v>
      </c>
      <c r="I252" t="s">
        <v>1339</v>
      </c>
      <c r="J252" t="s">
        <v>1159</v>
      </c>
      <c r="K252" t="s">
        <v>1698</v>
      </c>
      <c r="M252" t="s">
        <v>1330</v>
      </c>
      <c r="N252" t="s">
        <v>1689</v>
      </c>
      <c r="O252" t="s">
        <v>1174</v>
      </c>
      <c r="P252" t="s">
        <v>1686</v>
      </c>
      <c r="S252" t="s">
        <v>1395</v>
      </c>
    </row>
    <row r="253" spans="1:27">
      <c r="A253" t="s">
        <v>1690</v>
      </c>
      <c r="B253" t="s">
        <v>294</v>
      </c>
      <c r="C253" t="s">
        <v>1691</v>
      </c>
      <c r="D253" t="s">
        <v>1149</v>
      </c>
      <c r="E253" t="s">
        <v>1692</v>
      </c>
      <c r="H253" t="s">
        <v>1338</v>
      </c>
      <c r="I253" t="s">
        <v>1339</v>
      </c>
      <c r="J253" t="s">
        <v>1159</v>
      </c>
      <c r="K253" t="s">
        <v>1698</v>
      </c>
      <c r="M253" t="s">
        <v>1330</v>
      </c>
      <c r="N253" t="s">
        <v>1693</v>
      </c>
      <c r="O253" t="s">
        <v>1174</v>
      </c>
      <c r="P253" t="s">
        <v>1686</v>
      </c>
      <c r="S253" t="s">
        <v>1395</v>
      </c>
    </row>
    <row r="254" spans="1:27">
      <c r="A254" t="s">
        <v>571</v>
      </c>
      <c r="B254" t="s">
        <v>268</v>
      </c>
      <c r="C254" t="s">
        <v>573</v>
      </c>
      <c r="D254" t="s">
        <v>1149</v>
      </c>
      <c r="E254" t="s">
        <v>572</v>
      </c>
      <c r="H254" t="s">
        <v>1338</v>
      </c>
      <c r="I254" t="s">
        <v>1339</v>
      </c>
      <c r="J254" t="s">
        <v>1159</v>
      </c>
      <c r="K254" t="s">
        <v>1698</v>
      </c>
      <c r="M254" t="s">
        <v>1330</v>
      </c>
      <c r="N254" t="s">
        <v>1694</v>
      </c>
      <c r="O254" t="s">
        <v>1174</v>
      </c>
      <c r="P254" t="s">
        <v>1686</v>
      </c>
      <c r="S254" t="s">
        <v>1395</v>
      </c>
    </row>
    <row r="255" spans="1:27">
      <c r="A255" t="s">
        <v>574</v>
      </c>
      <c r="B255" t="s">
        <v>271</v>
      </c>
      <c r="C255" t="s">
        <v>576</v>
      </c>
      <c r="D255" t="s">
        <v>1149</v>
      </c>
      <c r="E255" t="s">
        <v>575</v>
      </c>
      <c r="H255" t="s">
        <v>1338</v>
      </c>
      <c r="I255" t="s">
        <v>1339</v>
      </c>
      <c r="J255" t="s">
        <v>1159</v>
      </c>
      <c r="K255" t="s">
        <v>1698</v>
      </c>
      <c r="M255" t="s">
        <v>1330</v>
      </c>
      <c r="N255" t="s">
        <v>1695</v>
      </c>
      <c r="O255" t="s">
        <v>1174</v>
      </c>
      <c r="P255" t="s">
        <v>1686</v>
      </c>
      <c r="S255" t="s">
        <v>1395</v>
      </c>
    </row>
    <row r="256" spans="1:27">
      <c r="A256" t="s">
        <v>577</v>
      </c>
      <c r="B256" t="s">
        <v>274</v>
      </c>
      <c r="C256" t="s">
        <v>579</v>
      </c>
      <c r="D256" t="s">
        <v>1149</v>
      </c>
      <c r="E256" t="s">
        <v>578</v>
      </c>
      <c r="H256" t="s">
        <v>1338</v>
      </c>
      <c r="I256" t="s">
        <v>1339</v>
      </c>
      <c r="J256" t="s">
        <v>1159</v>
      </c>
      <c r="K256" t="s">
        <v>1698</v>
      </c>
      <c r="M256" t="s">
        <v>1330</v>
      </c>
      <c r="N256" t="s">
        <v>1696</v>
      </c>
      <c r="O256" t="s">
        <v>1174</v>
      </c>
      <c r="P256" t="s">
        <v>1686</v>
      </c>
      <c r="S256" t="s">
        <v>1395</v>
      </c>
    </row>
    <row r="257" spans="1:27">
      <c r="A257" t="s">
        <v>580</v>
      </c>
      <c r="B257" t="s">
        <v>277</v>
      </c>
      <c r="C257" t="s">
        <v>582</v>
      </c>
      <c r="D257" t="s">
        <v>1130</v>
      </c>
      <c r="E257" t="s">
        <v>581</v>
      </c>
      <c r="H257" t="s">
        <v>1338</v>
      </c>
      <c r="I257" t="s">
        <v>1339</v>
      </c>
      <c r="J257" t="s">
        <v>1159</v>
      </c>
      <c r="K257" t="s">
        <v>1698</v>
      </c>
      <c r="M257" t="s">
        <v>1330</v>
      </c>
      <c r="O257" t="s">
        <v>1174</v>
      </c>
      <c r="P257" t="s">
        <v>1697</v>
      </c>
      <c r="S257" t="s">
        <v>1395</v>
      </c>
    </row>
    <row r="258" spans="1:27">
      <c r="A258" t="s">
        <v>645</v>
      </c>
      <c r="B258" t="s">
        <v>263</v>
      </c>
      <c r="C258" t="s">
        <v>647</v>
      </c>
      <c r="D258" t="s">
        <v>1130</v>
      </c>
      <c r="E258" t="s">
        <v>646</v>
      </c>
      <c r="H258" t="s">
        <v>1338</v>
      </c>
      <c r="I258" t="s">
        <v>1339</v>
      </c>
      <c r="J258" t="s">
        <v>1699</v>
      </c>
      <c r="K258" t="s">
        <v>1700</v>
      </c>
      <c r="M258" t="s">
        <v>1701</v>
      </c>
      <c r="N258" t="s">
        <v>1702</v>
      </c>
      <c r="O258" t="s">
        <v>1703</v>
      </c>
      <c r="P258" t="s">
        <v>1704</v>
      </c>
      <c r="Q258" t="s">
        <v>1705</v>
      </c>
      <c r="S258" t="s">
        <v>1523</v>
      </c>
      <c r="AA258" t="s">
        <v>1329</v>
      </c>
    </row>
    <row r="259" spans="1:27">
      <c r="A259" t="s">
        <v>596</v>
      </c>
      <c r="B259" t="s">
        <v>263</v>
      </c>
      <c r="C259" t="s">
        <v>598</v>
      </c>
      <c r="D259" t="s">
        <v>1149</v>
      </c>
      <c r="E259" t="s">
        <v>597</v>
      </c>
      <c r="H259" t="s">
        <v>1338</v>
      </c>
      <c r="I259" t="s">
        <v>1339</v>
      </c>
      <c r="J259" t="s">
        <v>1699</v>
      </c>
      <c r="K259" t="s">
        <v>1700</v>
      </c>
      <c r="M259" t="s">
        <v>1701</v>
      </c>
      <c r="N259" t="s">
        <v>1706</v>
      </c>
      <c r="O259" t="s">
        <v>1174</v>
      </c>
      <c r="P259" t="s">
        <v>1707</v>
      </c>
      <c r="Q259" t="s">
        <v>1708</v>
      </c>
      <c r="S259" t="s">
        <v>1709</v>
      </c>
    </row>
    <row r="260" spans="1:27">
      <c r="A260" t="s">
        <v>676</v>
      </c>
      <c r="B260" t="s">
        <v>260</v>
      </c>
      <c r="C260" t="s">
        <v>678</v>
      </c>
      <c r="D260" t="s">
        <v>1130</v>
      </c>
      <c r="E260" t="s">
        <v>677</v>
      </c>
      <c r="H260" t="s">
        <v>1338</v>
      </c>
      <c r="I260" t="s">
        <v>1339</v>
      </c>
      <c r="J260" t="s">
        <v>1699</v>
      </c>
      <c r="K260" t="s">
        <v>1700</v>
      </c>
      <c r="M260" t="s">
        <v>1169</v>
      </c>
      <c r="N260" t="s">
        <v>1710</v>
      </c>
      <c r="O260" t="s">
        <v>1711</v>
      </c>
      <c r="P260" t="s">
        <v>1712</v>
      </c>
      <c r="Q260" t="s">
        <v>1713</v>
      </c>
      <c r="S260" t="s">
        <v>1714</v>
      </c>
      <c r="AA260" t="s">
        <v>1329</v>
      </c>
    </row>
    <row r="261" spans="1:27">
      <c r="A261" t="s">
        <v>599</v>
      </c>
      <c r="B261" t="s">
        <v>255</v>
      </c>
      <c r="C261" t="s">
        <v>601</v>
      </c>
      <c r="D261" t="s">
        <v>1130</v>
      </c>
      <c r="E261" t="s">
        <v>600</v>
      </c>
      <c r="H261" t="s">
        <v>1338</v>
      </c>
      <c r="I261" t="s">
        <v>1339</v>
      </c>
      <c r="J261" t="s">
        <v>1699</v>
      </c>
      <c r="K261" t="s">
        <v>1700</v>
      </c>
      <c r="M261" t="s">
        <v>1701</v>
      </c>
      <c r="N261" t="s">
        <v>1715</v>
      </c>
      <c r="O261" t="s">
        <v>1174</v>
      </c>
      <c r="P261" t="s">
        <v>1716</v>
      </c>
      <c r="Q261" t="s">
        <v>1717</v>
      </c>
      <c r="S261" t="s">
        <v>1372</v>
      </c>
    </row>
    <row r="262" spans="1:27">
      <c r="A262" t="s">
        <v>602</v>
      </c>
      <c r="B262" t="s">
        <v>255</v>
      </c>
      <c r="C262" t="s">
        <v>604</v>
      </c>
      <c r="D262" t="s">
        <v>1130</v>
      </c>
      <c r="E262" t="s">
        <v>603</v>
      </c>
      <c r="H262" t="s">
        <v>1338</v>
      </c>
      <c r="I262" t="s">
        <v>1339</v>
      </c>
      <c r="J262" t="s">
        <v>1699</v>
      </c>
      <c r="K262" t="s">
        <v>1700</v>
      </c>
      <c r="M262" t="s">
        <v>1701</v>
      </c>
      <c r="N262" t="s">
        <v>1718</v>
      </c>
      <c r="O262" t="s">
        <v>1174</v>
      </c>
      <c r="P262" t="s">
        <v>1719</v>
      </c>
      <c r="Q262" t="s">
        <v>1720</v>
      </c>
      <c r="S262" t="s">
        <v>1721</v>
      </c>
      <c r="AA262" t="s">
        <v>1329</v>
      </c>
    </row>
    <row r="263" spans="1:27">
      <c r="A263" t="s">
        <v>606</v>
      </c>
      <c r="B263" t="s">
        <v>258</v>
      </c>
      <c r="C263" t="s">
        <v>608</v>
      </c>
      <c r="D263" t="s">
        <v>1130</v>
      </c>
      <c r="E263" t="s">
        <v>607</v>
      </c>
      <c r="H263" t="s">
        <v>1338</v>
      </c>
      <c r="I263" t="s">
        <v>1339</v>
      </c>
      <c r="J263" t="s">
        <v>1699</v>
      </c>
      <c r="K263" t="s">
        <v>1700</v>
      </c>
      <c r="M263" t="s">
        <v>1169</v>
      </c>
      <c r="N263" t="s">
        <v>1722</v>
      </c>
      <c r="O263" t="s">
        <v>1174</v>
      </c>
      <c r="P263" t="s">
        <v>1723</v>
      </c>
      <c r="Q263" t="s">
        <v>1724</v>
      </c>
      <c r="S263" t="s">
        <v>1376</v>
      </c>
      <c r="AA263" t="s">
        <v>1329</v>
      </c>
    </row>
    <row r="264" spans="1:27">
      <c r="A264" t="s">
        <v>645</v>
      </c>
      <c r="B264" t="s">
        <v>263</v>
      </c>
      <c r="C264" t="s">
        <v>647</v>
      </c>
      <c r="D264" t="s">
        <v>1130</v>
      </c>
      <c r="E264" t="s">
        <v>646</v>
      </c>
      <c r="H264" t="s">
        <v>1338</v>
      </c>
      <c r="I264" t="s">
        <v>1339</v>
      </c>
      <c r="J264" t="s">
        <v>1159</v>
      </c>
      <c r="K264" t="s">
        <v>1725</v>
      </c>
      <c r="M264" t="s">
        <v>1701</v>
      </c>
      <c r="N264" t="s">
        <v>1702</v>
      </c>
      <c r="O264" t="s">
        <v>1703</v>
      </c>
      <c r="P264" t="s">
        <v>1704</v>
      </c>
      <c r="Q264" t="s">
        <v>1705</v>
      </c>
      <c r="S264" t="s">
        <v>1523</v>
      </c>
      <c r="AA264" t="s">
        <v>1329</v>
      </c>
    </row>
    <row r="265" spans="1:27">
      <c r="A265" t="s">
        <v>596</v>
      </c>
      <c r="B265" t="s">
        <v>263</v>
      </c>
      <c r="C265" t="s">
        <v>598</v>
      </c>
      <c r="D265" t="s">
        <v>1149</v>
      </c>
      <c r="E265" t="s">
        <v>597</v>
      </c>
      <c r="H265" t="s">
        <v>1338</v>
      </c>
      <c r="I265" t="s">
        <v>1339</v>
      </c>
      <c r="J265" t="s">
        <v>1159</v>
      </c>
      <c r="K265" t="s">
        <v>1725</v>
      </c>
      <c r="M265" t="s">
        <v>1701</v>
      </c>
      <c r="N265" t="s">
        <v>1706</v>
      </c>
      <c r="O265" t="s">
        <v>1174</v>
      </c>
      <c r="P265" t="s">
        <v>1707</v>
      </c>
      <c r="Q265" t="s">
        <v>1708</v>
      </c>
      <c r="S265" t="s">
        <v>1709</v>
      </c>
    </row>
    <row r="266" spans="1:27">
      <c r="A266" t="s">
        <v>676</v>
      </c>
      <c r="B266" t="s">
        <v>260</v>
      </c>
      <c r="C266" t="s">
        <v>678</v>
      </c>
      <c r="D266" t="s">
        <v>1130</v>
      </c>
      <c r="E266" t="s">
        <v>677</v>
      </c>
      <c r="H266" t="s">
        <v>1338</v>
      </c>
      <c r="I266" t="s">
        <v>1339</v>
      </c>
      <c r="J266" t="s">
        <v>1159</v>
      </c>
      <c r="K266" t="s">
        <v>1725</v>
      </c>
      <c r="M266" t="s">
        <v>1169</v>
      </c>
      <c r="N266" t="s">
        <v>1710</v>
      </c>
      <c r="O266" t="s">
        <v>1711</v>
      </c>
      <c r="P266" t="s">
        <v>1712</v>
      </c>
      <c r="Q266" t="s">
        <v>1713</v>
      </c>
      <c r="S266" t="s">
        <v>1714</v>
      </c>
      <c r="AA266" t="s">
        <v>1329</v>
      </c>
    </row>
    <row r="267" spans="1:27">
      <c r="A267" t="s">
        <v>599</v>
      </c>
      <c r="B267" t="s">
        <v>255</v>
      </c>
      <c r="C267" t="s">
        <v>601</v>
      </c>
      <c r="D267" t="s">
        <v>1130</v>
      </c>
      <c r="E267" t="s">
        <v>600</v>
      </c>
      <c r="H267" t="s">
        <v>1338</v>
      </c>
      <c r="I267" t="s">
        <v>1339</v>
      </c>
      <c r="J267" t="s">
        <v>1159</v>
      </c>
      <c r="K267" t="s">
        <v>1725</v>
      </c>
      <c r="M267" t="s">
        <v>1701</v>
      </c>
      <c r="N267" t="s">
        <v>1715</v>
      </c>
      <c r="O267" t="s">
        <v>1174</v>
      </c>
      <c r="P267" t="s">
        <v>1716</v>
      </c>
      <c r="Q267" t="s">
        <v>1726</v>
      </c>
      <c r="S267" t="s">
        <v>1372</v>
      </c>
    </row>
    <row r="268" spans="1:27">
      <c r="A268" t="s">
        <v>602</v>
      </c>
      <c r="B268" t="s">
        <v>255</v>
      </c>
      <c r="C268" t="s">
        <v>604</v>
      </c>
      <c r="D268" t="s">
        <v>1130</v>
      </c>
      <c r="E268" t="s">
        <v>603</v>
      </c>
      <c r="H268" t="s">
        <v>1338</v>
      </c>
      <c r="I268" t="s">
        <v>1339</v>
      </c>
      <c r="J268" t="s">
        <v>1159</v>
      </c>
      <c r="K268" t="s">
        <v>1725</v>
      </c>
      <c r="M268" t="s">
        <v>1701</v>
      </c>
      <c r="N268" t="s">
        <v>1718</v>
      </c>
      <c r="O268" t="s">
        <v>1174</v>
      </c>
      <c r="P268" t="s">
        <v>1719</v>
      </c>
      <c r="Q268" t="s">
        <v>1727</v>
      </c>
      <c r="S268" t="s">
        <v>1721</v>
      </c>
      <c r="AA268" t="s">
        <v>1329</v>
      </c>
    </row>
    <row r="269" spans="1:27">
      <c r="A269" t="s">
        <v>606</v>
      </c>
      <c r="B269" t="s">
        <v>258</v>
      </c>
      <c r="C269" t="s">
        <v>608</v>
      </c>
      <c r="D269" t="s">
        <v>1130</v>
      </c>
      <c r="E269" t="s">
        <v>607</v>
      </c>
      <c r="H269" t="s">
        <v>1338</v>
      </c>
      <c r="I269" t="s">
        <v>1339</v>
      </c>
      <c r="J269" t="s">
        <v>1159</v>
      </c>
      <c r="K269" t="s">
        <v>1725</v>
      </c>
      <c r="M269" t="s">
        <v>1169</v>
      </c>
      <c r="N269" t="s">
        <v>1722</v>
      </c>
      <c r="O269" t="s">
        <v>1174</v>
      </c>
      <c r="P269" t="s">
        <v>1723</v>
      </c>
      <c r="Q269" t="s">
        <v>1724</v>
      </c>
      <c r="S269" t="s">
        <v>1376</v>
      </c>
      <c r="AA269" t="s">
        <v>1329</v>
      </c>
    </row>
    <row r="270" spans="1:27">
      <c r="A270" t="s">
        <v>679</v>
      </c>
      <c r="B270" t="s">
        <v>258</v>
      </c>
      <c r="C270" t="s">
        <v>680</v>
      </c>
      <c r="D270" t="s">
        <v>1130</v>
      </c>
      <c r="E270" t="s">
        <v>633</v>
      </c>
      <c r="H270" t="s">
        <v>1338</v>
      </c>
      <c r="I270" t="s">
        <v>1339</v>
      </c>
      <c r="J270" t="s">
        <v>1728</v>
      </c>
      <c r="K270" t="s">
        <v>1729</v>
      </c>
      <c r="M270" t="s">
        <v>1701</v>
      </c>
      <c r="N270" t="s">
        <v>1730</v>
      </c>
      <c r="O270" t="s">
        <v>1174</v>
      </c>
      <c r="P270" t="s">
        <v>1731</v>
      </c>
      <c r="Q270" t="s">
        <v>1732</v>
      </c>
      <c r="S270" t="s">
        <v>1733</v>
      </c>
    </row>
    <row r="271" spans="1:27">
      <c r="A271" t="s">
        <v>609</v>
      </c>
      <c r="B271" t="s">
        <v>263</v>
      </c>
      <c r="C271" t="s">
        <v>611</v>
      </c>
      <c r="D271" t="s">
        <v>1149</v>
      </c>
      <c r="E271" t="s">
        <v>610</v>
      </c>
      <c r="H271" t="s">
        <v>1338</v>
      </c>
      <c r="I271" t="s">
        <v>1339</v>
      </c>
      <c r="J271" t="s">
        <v>1728</v>
      </c>
      <c r="K271" t="s">
        <v>1729</v>
      </c>
      <c r="M271" t="s">
        <v>1701</v>
      </c>
      <c r="N271" t="s">
        <v>1734</v>
      </c>
      <c r="O271" t="s">
        <v>1174</v>
      </c>
      <c r="P271" t="s">
        <v>1735</v>
      </c>
      <c r="Q271" t="s">
        <v>1736</v>
      </c>
      <c r="S271" t="s">
        <v>1737</v>
      </c>
    </row>
    <row r="272" spans="1:27">
      <c r="A272" t="s">
        <v>612</v>
      </c>
      <c r="B272" t="s">
        <v>255</v>
      </c>
      <c r="C272" t="s">
        <v>614</v>
      </c>
      <c r="D272" t="s">
        <v>1130</v>
      </c>
      <c r="E272" t="s">
        <v>613</v>
      </c>
      <c r="H272" t="s">
        <v>1338</v>
      </c>
      <c r="I272" t="s">
        <v>1339</v>
      </c>
      <c r="J272" t="s">
        <v>1728</v>
      </c>
      <c r="K272" t="s">
        <v>1729</v>
      </c>
      <c r="M272" t="s">
        <v>113</v>
      </c>
      <c r="N272" t="s">
        <v>1738</v>
      </c>
      <c r="O272" t="s">
        <v>1174</v>
      </c>
      <c r="P272" t="s">
        <v>1739</v>
      </c>
      <c r="Q272" t="s">
        <v>1740</v>
      </c>
      <c r="S272" t="s">
        <v>1741</v>
      </c>
    </row>
    <row r="273" spans="1:19">
      <c r="A273" t="s">
        <v>681</v>
      </c>
      <c r="B273" t="s">
        <v>255</v>
      </c>
      <c r="C273" t="s">
        <v>683</v>
      </c>
      <c r="D273" t="s">
        <v>1130</v>
      </c>
      <c r="E273" t="s">
        <v>682</v>
      </c>
      <c r="H273" t="s">
        <v>1338</v>
      </c>
      <c r="I273" t="s">
        <v>1339</v>
      </c>
      <c r="J273" t="s">
        <v>1728</v>
      </c>
      <c r="K273" t="s">
        <v>1729</v>
      </c>
      <c r="M273" t="s">
        <v>1701</v>
      </c>
      <c r="N273" t="s">
        <v>1742</v>
      </c>
      <c r="O273" t="s">
        <v>1174</v>
      </c>
      <c r="P273" t="s">
        <v>1743</v>
      </c>
      <c r="Q273" t="s">
        <v>1744</v>
      </c>
      <c r="S273" t="s">
        <v>1733</v>
      </c>
    </row>
    <row r="274" spans="1:19">
      <c r="A274" t="s">
        <v>684</v>
      </c>
      <c r="B274" t="s">
        <v>260</v>
      </c>
      <c r="C274" t="s">
        <v>686</v>
      </c>
      <c r="D274" t="s">
        <v>1130</v>
      </c>
      <c r="E274" t="s">
        <v>685</v>
      </c>
      <c r="H274" t="s">
        <v>1338</v>
      </c>
      <c r="I274" t="s">
        <v>1339</v>
      </c>
      <c r="J274" t="s">
        <v>1728</v>
      </c>
      <c r="K274" t="s">
        <v>1729</v>
      </c>
      <c r="M274" t="s">
        <v>1701</v>
      </c>
      <c r="N274" t="s">
        <v>1745</v>
      </c>
      <c r="O274" t="s">
        <v>1174</v>
      </c>
      <c r="P274" t="s">
        <v>1746</v>
      </c>
      <c r="Q274" t="s">
        <v>1747</v>
      </c>
      <c r="S274" t="s">
        <v>1733</v>
      </c>
    </row>
    <row r="275" spans="1:19">
      <c r="A275" t="s">
        <v>687</v>
      </c>
      <c r="B275" t="s">
        <v>294</v>
      </c>
      <c r="C275" t="s">
        <v>689</v>
      </c>
      <c r="D275" t="s">
        <v>1130</v>
      </c>
      <c r="E275" t="s">
        <v>688</v>
      </c>
      <c r="H275" t="s">
        <v>1338</v>
      </c>
      <c r="I275" t="s">
        <v>1339</v>
      </c>
      <c r="J275" t="s">
        <v>1728</v>
      </c>
      <c r="K275" t="s">
        <v>1729</v>
      </c>
      <c r="M275" t="s">
        <v>1701</v>
      </c>
      <c r="N275" t="s">
        <v>1748</v>
      </c>
      <c r="O275" t="s">
        <v>1174</v>
      </c>
      <c r="P275" t="s">
        <v>1749</v>
      </c>
      <c r="Q275" t="s">
        <v>1747</v>
      </c>
      <c r="S275" t="s">
        <v>1733</v>
      </c>
    </row>
    <row r="276" spans="1:19">
      <c r="A276" t="s">
        <v>690</v>
      </c>
      <c r="B276" t="s">
        <v>268</v>
      </c>
      <c r="C276" t="s">
        <v>692</v>
      </c>
      <c r="D276" t="s">
        <v>1130</v>
      </c>
      <c r="E276" t="s">
        <v>691</v>
      </c>
      <c r="H276" t="s">
        <v>1338</v>
      </c>
      <c r="I276" t="s">
        <v>1339</v>
      </c>
      <c r="J276" t="s">
        <v>1728</v>
      </c>
      <c r="K276" t="s">
        <v>1729</v>
      </c>
      <c r="M276" t="s">
        <v>1701</v>
      </c>
      <c r="N276" t="s">
        <v>1750</v>
      </c>
      <c r="O276" t="s">
        <v>1174</v>
      </c>
      <c r="P276" t="s">
        <v>1751</v>
      </c>
      <c r="Q276" t="s">
        <v>1752</v>
      </c>
      <c r="S276" t="s">
        <v>1733</v>
      </c>
    </row>
    <row r="277" spans="1:19">
      <c r="A277" t="s">
        <v>615</v>
      </c>
      <c r="B277" t="s">
        <v>260</v>
      </c>
      <c r="C277" t="s">
        <v>617</v>
      </c>
      <c r="D277" t="s">
        <v>1130</v>
      </c>
      <c r="E277" t="s">
        <v>616</v>
      </c>
      <c r="H277" t="s">
        <v>1338</v>
      </c>
      <c r="I277" t="s">
        <v>1339</v>
      </c>
      <c r="J277" t="s">
        <v>1728</v>
      </c>
      <c r="K277" t="s">
        <v>1729</v>
      </c>
      <c r="M277" t="s">
        <v>1701</v>
      </c>
      <c r="N277" t="s">
        <v>1753</v>
      </c>
      <c r="O277" t="s">
        <v>1174</v>
      </c>
      <c r="P277" t="s">
        <v>1754</v>
      </c>
      <c r="Q277" t="s">
        <v>1755</v>
      </c>
      <c r="S277" t="s">
        <v>1737</v>
      </c>
    </row>
    <row r="278" spans="1:19">
      <c r="A278" t="s">
        <v>618</v>
      </c>
      <c r="B278" t="s">
        <v>255</v>
      </c>
      <c r="C278" t="s">
        <v>620</v>
      </c>
      <c r="D278" t="s">
        <v>1130</v>
      </c>
      <c r="E278" t="s">
        <v>619</v>
      </c>
      <c r="H278" t="s">
        <v>1338</v>
      </c>
      <c r="I278" t="s">
        <v>1339</v>
      </c>
      <c r="J278" t="s">
        <v>1728</v>
      </c>
      <c r="K278" t="s">
        <v>1729</v>
      </c>
      <c r="M278" t="s">
        <v>1701</v>
      </c>
      <c r="N278" t="s">
        <v>1756</v>
      </c>
      <c r="O278" t="s">
        <v>1174</v>
      </c>
      <c r="P278" t="s">
        <v>1757</v>
      </c>
      <c r="Q278" t="s">
        <v>1758</v>
      </c>
      <c r="S278" t="s">
        <v>1529</v>
      </c>
    </row>
    <row r="279" spans="1:19">
      <c r="A279" t="s">
        <v>621</v>
      </c>
      <c r="B279" t="s">
        <v>258</v>
      </c>
      <c r="C279" t="s">
        <v>623</v>
      </c>
      <c r="D279" t="s">
        <v>1130</v>
      </c>
      <c r="E279" t="s">
        <v>622</v>
      </c>
      <c r="H279" t="s">
        <v>1338</v>
      </c>
      <c r="I279" t="s">
        <v>1339</v>
      </c>
      <c r="J279" t="s">
        <v>1728</v>
      </c>
      <c r="K279" t="s">
        <v>1729</v>
      </c>
      <c r="M279" t="s">
        <v>1701</v>
      </c>
      <c r="N279" t="s">
        <v>1759</v>
      </c>
      <c r="O279" t="s">
        <v>1174</v>
      </c>
      <c r="P279" t="s">
        <v>1760</v>
      </c>
      <c r="Q279" t="s">
        <v>1761</v>
      </c>
      <c r="S279" t="s">
        <v>1529</v>
      </c>
    </row>
    <row r="280" spans="1:19">
      <c r="A280" t="s">
        <v>624</v>
      </c>
      <c r="B280" t="s">
        <v>260</v>
      </c>
      <c r="C280" t="s">
        <v>626</v>
      </c>
      <c r="D280" t="s">
        <v>1130</v>
      </c>
      <c r="E280" t="s">
        <v>625</v>
      </c>
      <c r="H280" t="s">
        <v>1338</v>
      </c>
      <c r="I280" t="s">
        <v>1339</v>
      </c>
      <c r="J280" t="s">
        <v>1728</v>
      </c>
      <c r="K280" t="s">
        <v>1729</v>
      </c>
      <c r="M280" t="s">
        <v>1701</v>
      </c>
      <c r="N280" t="s">
        <v>1762</v>
      </c>
      <c r="O280" t="s">
        <v>1174</v>
      </c>
      <c r="P280" t="s">
        <v>1763</v>
      </c>
      <c r="Q280" t="s">
        <v>1761</v>
      </c>
      <c r="S280" t="s">
        <v>1529</v>
      </c>
    </row>
    <row r="281" spans="1:19">
      <c r="A281" t="s">
        <v>654</v>
      </c>
      <c r="B281" t="s">
        <v>263</v>
      </c>
      <c r="C281" t="s">
        <v>655</v>
      </c>
      <c r="D281" t="s">
        <v>1149</v>
      </c>
      <c r="E281" t="s">
        <v>262</v>
      </c>
      <c r="H281" t="s">
        <v>1338</v>
      </c>
      <c r="I281" t="s">
        <v>1339</v>
      </c>
      <c r="J281" t="s">
        <v>1728</v>
      </c>
      <c r="K281" t="s">
        <v>1729</v>
      </c>
      <c r="M281" t="s">
        <v>1701</v>
      </c>
      <c r="N281" t="s">
        <v>1764</v>
      </c>
      <c r="O281" t="s">
        <v>1174</v>
      </c>
      <c r="P281" t="s">
        <v>1765</v>
      </c>
      <c r="Q281" t="s">
        <v>1766</v>
      </c>
      <c r="S281" t="s">
        <v>1529</v>
      </c>
    </row>
    <row r="282" spans="1:19">
      <c r="A282" t="s">
        <v>656</v>
      </c>
      <c r="B282" t="s">
        <v>266</v>
      </c>
      <c r="C282" t="s">
        <v>657</v>
      </c>
      <c r="D282" t="s">
        <v>1149</v>
      </c>
      <c r="E282" t="s">
        <v>262</v>
      </c>
      <c r="H282" t="s">
        <v>1338</v>
      </c>
      <c r="I282" t="s">
        <v>1339</v>
      </c>
      <c r="J282" t="s">
        <v>1728</v>
      </c>
      <c r="K282" t="s">
        <v>1729</v>
      </c>
      <c r="M282" t="s">
        <v>1701</v>
      </c>
      <c r="N282" t="s">
        <v>1767</v>
      </c>
      <c r="O282" t="s">
        <v>1174</v>
      </c>
      <c r="P282" t="s">
        <v>1768</v>
      </c>
      <c r="Q282" t="s">
        <v>1769</v>
      </c>
      <c r="S282" t="s">
        <v>1529</v>
      </c>
    </row>
    <row r="283" spans="1:19">
      <c r="A283" t="s">
        <v>627</v>
      </c>
      <c r="B283" t="s">
        <v>278</v>
      </c>
      <c r="C283" t="s">
        <v>629</v>
      </c>
      <c r="D283" t="s">
        <v>1130</v>
      </c>
      <c r="E283" t="s">
        <v>628</v>
      </c>
      <c r="H283" t="s">
        <v>1338</v>
      </c>
      <c r="I283" t="s">
        <v>1339</v>
      </c>
      <c r="J283" t="s">
        <v>1728</v>
      </c>
      <c r="K283" t="s">
        <v>1729</v>
      </c>
      <c r="M283" t="s">
        <v>1701</v>
      </c>
      <c r="N283" t="s">
        <v>1770</v>
      </c>
      <c r="O283" t="s">
        <v>1174</v>
      </c>
      <c r="P283" t="s">
        <v>1771</v>
      </c>
      <c r="Q283" t="s">
        <v>1772</v>
      </c>
      <c r="S283" t="s">
        <v>1529</v>
      </c>
    </row>
    <row r="284" spans="1:19">
      <c r="A284" t="s">
        <v>630</v>
      </c>
      <c r="B284" t="s">
        <v>280</v>
      </c>
      <c r="C284" t="s">
        <v>631</v>
      </c>
      <c r="D284" t="s">
        <v>1130</v>
      </c>
      <c r="E284" t="s">
        <v>628</v>
      </c>
      <c r="H284" t="s">
        <v>1338</v>
      </c>
      <c r="I284" t="s">
        <v>1339</v>
      </c>
      <c r="J284" t="s">
        <v>1728</v>
      </c>
      <c r="K284" t="s">
        <v>1729</v>
      </c>
      <c r="M284" t="s">
        <v>1701</v>
      </c>
      <c r="N284" t="s">
        <v>1773</v>
      </c>
      <c r="O284" t="s">
        <v>1174</v>
      </c>
      <c r="P284" t="s">
        <v>1774</v>
      </c>
      <c r="Q284" t="s">
        <v>1772</v>
      </c>
      <c r="S284" t="s">
        <v>1529</v>
      </c>
    </row>
    <row r="285" spans="1:19">
      <c r="A285" t="s">
        <v>1775</v>
      </c>
      <c r="B285" t="s">
        <v>1486</v>
      </c>
      <c r="C285" t="s">
        <v>1776</v>
      </c>
      <c r="D285" t="s">
        <v>1149</v>
      </c>
      <c r="E285" t="s">
        <v>262</v>
      </c>
      <c r="H285" t="s">
        <v>1338</v>
      </c>
      <c r="I285" t="s">
        <v>1339</v>
      </c>
      <c r="J285" t="s">
        <v>1728</v>
      </c>
      <c r="K285" t="s">
        <v>1729</v>
      </c>
      <c r="M285" t="s">
        <v>1701</v>
      </c>
      <c r="N285" t="s">
        <v>1777</v>
      </c>
      <c r="O285" t="s">
        <v>1174</v>
      </c>
      <c r="P285" t="s">
        <v>1765</v>
      </c>
      <c r="Q285" t="s">
        <v>1778</v>
      </c>
      <c r="S285" t="s">
        <v>1529</v>
      </c>
    </row>
    <row r="286" spans="1:19">
      <c r="A286" t="s">
        <v>693</v>
      </c>
      <c r="B286" t="s">
        <v>263</v>
      </c>
      <c r="C286" t="s">
        <v>694</v>
      </c>
      <c r="D286" t="s">
        <v>1130</v>
      </c>
      <c r="E286" t="s">
        <v>633</v>
      </c>
      <c r="H286" t="s">
        <v>1338</v>
      </c>
      <c r="I286" t="s">
        <v>1339</v>
      </c>
      <c r="J286" t="s">
        <v>1728</v>
      </c>
      <c r="K286" t="s">
        <v>1729</v>
      </c>
      <c r="M286" t="s">
        <v>1701</v>
      </c>
      <c r="N286" t="s">
        <v>1779</v>
      </c>
      <c r="O286" t="s">
        <v>1174</v>
      </c>
      <c r="P286" t="s">
        <v>1780</v>
      </c>
      <c r="Q286" t="s">
        <v>1747</v>
      </c>
      <c r="S286" t="s">
        <v>1733</v>
      </c>
    </row>
    <row r="287" spans="1:19">
      <c r="A287" t="s">
        <v>632</v>
      </c>
      <c r="B287" t="s">
        <v>266</v>
      </c>
      <c r="C287" t="s">
        <v>634</v>
      </c>
      <c r="D287" t="s">
        <v>1130</v>
      </c>
      <c r="E287" t="s">
        <v>633</v>
      </c>
      <c r="H287" t="s">
        <v>1338</v>
      </c>
      <c r="I287" t="s">
        <v>1339</v>
      </c>
      <c r="J287" t="s">
        <v>1728</v>
      </c>
      <c r="K287" t="s">
        <v>1729</v>
      </c>
      <c r="M287" t="s">
        <v>1701</v>
      </c>
      <c r="N287" t="s">
        <v>1781</v>
      </c>
      <c r="O287" t="s">
        <v>1174</v>
      </c>
      <c r="P287" t="s">
        <v>1782</v>
      </c>
      <c r="Q287" t="s">
        <v>1783</v>
      </c>
      <c r="S287" t="s">
        <v>1733</v>
      </c>
    </row>
    <row r="288" spans="1:19">
      <c r="A288" t="s">
        <v>635</v>
      </c>
      <c r="B288" t="s">
        <v>271</v>
      </c>
      <c r="C288" t="s">
        <v>637</v>
      </c>
      <c r="D288" t="s">
        <v>1130</v>
      </c>
      <c r="E288" t="s">
        <v>636</v>
      </c>
      <c r="H288" t="s">
        <v>1338</v>
      </c>
      <c r="I288" t="s">
        <v>1339</v>
      </c>
      <c r="J288" t="s">
        <v>1728</v>
      </c>
      <c r="K288" t="s">
        <v>1729</v>
      </c>
      <c r="M288" t="s">
        <v>1701</v>
      </c>
      <c r="N288" t="s">
        <v>1784</v>
      </c>
      <c r="O288" t="s">
        <v>1174</v>
      </c>
      <c r="P288" t="s">
        <v>1785</v>
      </c>
      <c r="Q288" t="s">
        <v>1786</v>
      </c>
      <c r="S288" t="s">
        <v>1733</v>
      </c>
    </row>
    <row r="289" spans="1:27">
      <c r="A289" t="s">
        <v>638</v>
      </c>
      <c r="B289" t="s">
        <v>274</v>
      </c>
      <c r="C289" t="s">
        <v>639</v>
      </c>
      <c r="D289" t="s">
        <v>1130</v>
      </c>
      <c r="E289" t="s">
        <v>636</v>
      </c>
      <c r="H289" t="s">
        <v>1338</v>
      </c>
      <c r="I289" t="s">
        <v>1339</v>
      </c>
      <c r="J289" t="s">
        <v>1728</v>
      </c>
      <c r="K289" t="s">
        <v>1729</v>
      </c>
      <c r="M289" t="s">
        <v>1701</v>
      </c>
      <c r="N289" t="s">
        <v>1787</v>
      </c>
      <c r="O289" t="s">
        <v>1174</v>
      </c>
      <c r="P289" t="s">
        <v>1788</v>
      </c>
      <c r="Q289" t="s">
        <v>1789</v>
      </c>
      <c r="S289" t="s">
        <v>1733</v>
      </c>
    </row>
    <row r="290" spans="1:27">
      <c r="A290" t="s">
        <v>640</v>
      </c>
      <c r="B290" t="s">
        <v>277</v>
      </c>
      <c r="C290" t="s">
        <v>641</v>
      </c>
      <c r="D290" t="s">
        <v>1130</v>
      </c>
      <c r="E290" t="s">
        <v>636</v>
      </c>
      <c r="H290" t="s">
        <v>1338</v>
      </c>
      <c r="I290" t="s">
        <v>1339</v>
      </c>
      <c r="J290" t="s">
        <v>1728</v>
      </c>
      <c r="K290" t="s">
        <v>1729</v>
      </c>
      <c r="M290" t="s">
        <v>1701</v>
      </c>
      <c r="N290" t="s">
        <v>1790</v>
      </c>
      <c r="O290" t="s">
        <v>1174</v>
      </c>
      <c r="P290" t="s">
        <v>1791</v>
      </c>
      <c r="Q290" t="s">
        <v>1789</v>
      </c>
      <c r="S290" t="s">
        <v>1733</v>
      </c>
    </row>
    <row r="291" spans="1:27">
      <c r="A291" t="s">
        <v>1792</v>
      </c>
      <c r="B291" t="s">
        <v>255</v>
      </c>
      <c r="C291" t="s">
        <v>1793</v>
      </c>
      <c r="D291" t="s">
        <v>1130</v>
      </c>
      <c r="E291" t="s">
        <v>1794</v>
      </c>
      <c r="H291" t="s">
        <v>1338</v>
      </c>
      <c r="I291" t="s">
        <v>1339</v>
      </c>
      <c r="J291" t="s">
        <v>1728</v>
      </c>
      <c r="K291" t="s">
        <v>1729</v>
      </c>
      <c r="O291" t="s">
        <v>1174</v>
      </c>
      <c r="P291" t="s">
        <v>1739</v>
      </c>
      <c r="S291" t="s">
        <v>1395</v>
      </c>
    </row>
    <row r="292" spans="1:27">
      <c r="A292" t="s">
        <v>642</v>
      </c>
      <c r="B292" t="s">
        <v>258</v>
      </c>
      <c r="C292" t="s">
        <v>644</v>
      </c>
      <c r="D292" t="s">
        <v>1130</v>
      </c>
      <c r="E292" t="s">
        <v>643</v>
      </c>
      <c r="H292" t="s">
        <v>1338</v>
      </c>
      <c r="I292" t="s">
        <v>1339</v>
      </c>
      <c r="J292" t="s">
        <v>1728</v>
      </c>
      <c r="K292" t="s">
        <v>1729</v>
      </c>
      <c r="O292" t="s">
        <v>1174</v>
      </c>
      <c r="P292" t="s">
        <v>1795</v>
      </c>
      <c r="S292" t="s">
        <v>1395</v>
      </c>
    </row>
    <row r="293" spans="1:27">
      <c r="A293" t="s">
        <v>1796</v>
      </c>
      <c r="B293" t="s">
        <v>260</v>
      </c>
      <c r="C293" t="s">
        <v>1797</v>
      </c>
      <c r="D293" t="s">
        <v>1130</v>
      </c>
      <c r="E293" t="s">
        <v>1798</v>
      </c>
      <c r="H293" t="s">
        <v>1338</v>
      </c>
      <c r="I293" t="s">
        <v>1339</v>
      </c>
      <c r="J293" t="s">
        <v>1728</v>
      </c>
      <c r="K293" t="s">
        <v>1729</v>
      </c>
      <c r="O293" t="s">
        <v>1174</v>
      </c>
      <c r="P293" t="s">
        <v>1795</v>
      </c>
      <c r="S293" t="s">
        <v>1395</v>
      </c>
    </row>
    <row r="294" spans="1:27">
      <c r="A294" t="s">
        <v>1799</v>
      </c>
      <c r="B294" t="s">
        <v>255</v>
      </c>
      <c r="C294" t="s">
        <v>1800</v>
      </c>
      <c r="D294" t="s">
        <v>1130</v>
      </c>
      <c r="E294" t="s">
        <v>1801</v>
      </c>
      <c r="H294" t="s">
        <v>1338</v>
      </c>
      <c r="I294" t="s">
        <v>1339</v>
      </c>
      <c r="J294" t="s">
        <v>1728</v>
      </c>
      <c r="K294" t="s">
        <v>1729</v>
      </c>
      <c r="O294" t="s">
        <v>1174</v>
      </c>
      <c r="P294" t="s">
        <v>1802</v>
      </c>
      <c r="Q294" t="s">
        <v>1803</v>
      </c>
      <c r="S294" t="s">
        <v>1395</v>
      </c>
    </row>
    <row r="295" spans="1:27">
      <c r="A295" t="s">
        <v>984</v>
      </c>
      <c r="B295" t="s">
        <v>266</v>
      </c>
      <c r="C295" t="s">
        <v>986</v>
      </c>
      <c r="D295" t="s">
        <v>1149</v>
      </c>
      <c r="E295" t="s">
        <v>985</v>
      </c>
      <c r="H295" t="s">
        <v>1338</v>
      </c>
      <c r="I295" t="s">
        <v>1339</v>
      </c>
      <c r="J295" t="s">
        <v>1804</v>
      </c>
      <c r="K295" t="s">
        <v>1805</v>
      </c>
      <c r="M295" t="s">
        <v>1182</v>
      </c>
      <c r="N295" t="s">
        <v>1806</v>
      </c>
      <c r="O295" t="s">
        <v>1174</v>
      </c>
      <c r="P295" t="s">
        <v>1807</v>
      </c>
      <c r="Q295" t="s">
        <v>1808</v>
      </c>
      <c r="S295" t="s">
        <v>1469</v>
      </c>
      <c r="AA295">
        <v>0</v>
      </c>
    </row>
    <row r="296" spans="1:27">
      <c r="A296" t="s">
        <v>987</v>
      </c>
      <c r="B296" t="s">
        <v>258</v>
      </c>
      <c r="C296" t="s">
        <v>989</v>
      </c>
      <c r="D296" t="s">
        <v>1149</v>
      </c>
      <c r="E296" t="s">
        <v>988</v>
      </c>
      <c r="H296" t="s">
        <v>1338</v>
      </c>
      <c r="I296" t="s">
        <v>1339</v>
      </c>
      <c r="J296" t="s">
        <v>1804</v>
      </c>
      <c r="K296" t="s">
        <v>1805</v>
      </c>
      <c r="M296" t="s">
        <v>1182</v>
      </c>
      <c r="N296" t="s">
        <v>1809</v>
      </c>
      <c r="O296" t="s">
        <v>1174</v>
      </c>
      <c r="P296" t="s">
        <v>1810</v>
      </c>
      <c r="Q296" t="s">
        <v>1811</v>
      </c>
      <c r="S296" t="s">
        <v>1346</v>
      </c>
    </row>
    <row r="297" spans="1:27">
      <c r="A297" t="s">
        <v>993</v>
      </c>
      <c r="B297" t="s">
        <v>277</v>
      </c>
      <c r="C297" t="s">
        <v>995</v>
      </c>
      <c r="D297" t="s">
        <v>1149</v>
      </c>
      <c r="E297" t="s">
        <v>994</v>
      </c>
      <c r="H297" t="s">
        <v>1338</v>
      </c>
      <c r="I297" t="s">
        <v>1339</v>
      </c>
      <c r="J297" t="s">
        <v>1804</v>
      </c>
      <c r="K297" t="s">
        <v>1805</v>
      </c>
      <c r="M297" t="s">
        <v>1182</v>
      </c>
      <c r="N297" t="s">
        <v>1812</v>
      </c>
      <c r="O297" t="s">
        <v>1174</v>
      </c>
      <c r="P297" t="s">
        <v>1810</v>
      </c>
      <c r="Q297" t="s">
        <v>1813</v>
      </c>
      <c r="S297" t="s">
        <v>1502</v>
      </c>
    </row>
    <row r="298" spans="1:27">
      <c r="A298" t="s">
        <v>1814</v>
      </c>
      <c r="B298" t="s">
        <v>263</v>
      </c>
      <c r="C298" t="s">
        <v>1815</v>
      </c>
      <c r="D298" t="s">
        <v>1149</v>
      </c>
      <c r="E298" t="s">
        <v>1816</v>
      </c>
      <c r="H298" t="s">
        <v>1338</v>
      </c>
      <c r="I298" t="s">
        <v>1339</v>
      </c>
      <c r="J298" t="s">
        <v>1804</v>
      </c>
      <c r="K298" t="s">
        <v>1805</v>
      </c>
      <c r="M298" t="s">
        <v>1182</v>
      </c>
      <c r="N298" t="s">
        <v>1817</v>
      </c>
      <c r="O298" t="s">
        <v>1174</v>
      </c>
      <c r="P298" t="s">
        <v>1818</v>
      </c>
      <c r="Q298" t="s">
        <v>1819</v>
      </c>
      <c r="S298" t="s">
        <v>1534</v>
      </c>
      <c r="AA298">
        <v>1</v>
      </c>
    </row>
    <row r="299" spans="1:27">
      <c r="A299" t="s">
        <v>1820</v>
      </c>
      <c r="B299" t="s">
        <v>258</v>
      </c>
      <c r="C299" t="s">
        <v>1821</v>
      </c>
      <c r="D299" t="s">
        <v>1149</v>
      </c>
      <c r="E299" t="s">
        <v>1822</v>
      </c>
      <c r="H299" t="s">
        <v>1338</v>
      </c>
      <c r="I299" t="s">
        <v>1339</v>
      </c>
      <c r="J299" t="s">
        <v>1804</v>
      </c>
      <c r="K299" t="s">
        <v>1805</v>
      </c>
      <c r="M299" t="s">
        <v>1182</v>
      </c>
      <c r="N299" t="s">
        <v>1823</v>
      </c>
      <c r="O299" t="s">
        <v>1174</v>
      </c>
      <c r="P299" t="s">
        <v>1824</v>
      </c>
      <c r="Q299" t="s">
        <v>1825</v>
      </c>
      <c r="S299" t="s">
        <v>1523</v>
      </c>
      <c r="AA299">
        <v>1</v>
      </c>
    </row>
    <row r="300" spans="1:27">
      <c r="A300" t="s">
        <v>996</v>
      </c>
      <c r="B300" t="s">
        <v>260</v>
      </c>
      <c r="C300" t="s">
        <v>998</v>
      </c>
      <c r="D300" t="s">
        <v>1149</v>
      </c>
      <c r="E300" t="s">
        <v>997</v>
      </c>
      <c r="H300" t="s">
        <v>1338</v>
      </c>
      <c r="I300" t="s">
        <v>1339</v>
      </c>
      <c r="J300" t="s">
        <v>1804</v>
      </c>
      <c r="K300" t="s">
        <v>1805</v>
      </c>
      <c r="M300" t="s">
        <v>1182</v>
      </c>
      <c r="N300" t="s">
        <v>1826</v>
      </c>
      <c r="O300" t="s">
        <v>1174</v>
      </c>
      <c r="P300" t="s">
        <v>1827</v>
      </c>
      <c r="Q300" t="s">
        <v>1828</v>
      </c>
      <c r="S300" t="s">
        <v>1829</v>
      </c>
    </row>
    <row r="301" spans="1:27">
      <c r="A301" t="s">
        <v>773</v>
      </c>
      <c r="B301" t="s">
        <v>268</v>
      </c>
      <c r="C301" t="s">
        <v>775</v>
      </c>
      <c r="D301" t="s">
        <v>1149</v>
      </c>
      <c r="E301" t="s">
        <v>774</v>
      </c>
      <c r="H301" t="s">
        <v>1338</v>
      </c>
      <c r="I301" t="s">
        <v>1339</v>
      </c>
      <c r="J301" t="s">
        <v>1804</v>
      </c>
      <c r="K301" t="s">
        <v>1805</v>
      </c>
      <c r="M301" t="s">
        <v>1182</v>
      </c>
      <c r="N301" t="s">
        <v>1830</v>
      </c>
      <c r="O301" t="s">
        <v>1174</v>
      </c>
      <c r="P301" t="s">
        <v>1831</v>
      </c>
      <c r="Q301" t="s">
        <v>1832</v>
      </c>
      <c r="S301" t="s">
        <v>1469</v>
      </c>
      <c r="AA301">
        <v>1</v>
      </c>
    </row>
    <row r="302" spans="1:27">
      <c r="A302" t="s">
        <v>776</v>
      </c>
      <c r="B302" t="s">
        <v>260</v>
      </c>
      <c r="C302" t="s">
        <v>778</v>
      </c>
      <c r="D302" t="s">
        <v>1149</v>
      </c>
      <c r="E302" t="s">
        <v>777</v>
      </c>
      <c r="H302" t="s">
        <v>1338</v>
      </c>
      <c r="I302" t="s">
        <v>1339</v>
      </c>
      <c r="J302" t="s">
        <v>1804</v>
      </c>
      <c r="K302" t="s">
        <v>1805</v>
      </c>
      <c r="M302" t="s">
        <v>1182</v>
      </c>
      <c r="N302" t="s">
        <v>1833</v>
      </c>
      <c r="O302" t="s">
        <v>1174</v>
      </c>
      <c r="P302" t="s">
        <v>1810</v>
      </c>
      <c r="Q302" t="s">
        <v>1834</v>
      </c>
      <c r="S302" t="s">
        <v>1346</v>
      </c>
    </row>
    <row r="303" spans="1:27">
      <c r="A303" t="s">
        <v>1835</v>
      </c>
      <c r="B303" t="s">
        <v>258</v>
      </c>
      <c r="C303" t="s">
        <v>1836</v>
      </c>
      <c r="D303" t="s">
        <v>1149</v>
      </c>
      <c r="E303" t="s">
        <v>1837</v>
      </c>
      <c r="H303" t="s">
        <v>1338</v>
      </c>
      <c r="I303" t="s">
        <v>1339</v>
      </c>
      <c r="J303" t="s">
        <v>1804</v>
      </c>
      <c r="K303" t="s">
        <v>1805</v>
      </c>
      <c r="M303" t="s">
        <v>1182</v>
      </c>
      <c r="N303" t="s">
        <v>1838</v>
      </c>
      <c r="O303" t="s">
        <v>1174</v>
      </c>
      <c r="P303" t="s">
        <v>1839</v>
      </c>
      <c r="Q303" t="s">
        <v>1840</v>
      </c>
      <c r="S303" t="s">
        <v>1841</v>
      </c>
    </row>
    <row r="304" spans="1:27">
      <c r="A304" t="s">
        <v>788</v>
      </c>
      <c r="B304" t="s">
        <v>255</v>
      </c>
      <c r="C304" t="s">
        <v>790</v>
      </c>
      <c r="D304" t="s">
        <v>1130</v>
      </c>
      <c r="E304" t="s">
        <v>789</v>
      </c>
      <c r="H304" t="s">
        <v>1338</v>
      </c>
      <c r="I304" t="s">
        <v>1339</v>
      </c>
      <c r="J304" t="s">
        <v>1804</v>
      </c>
      <c r="K304" t="s">
        <v>1805</v>
      </c>
      <c r="M304" t="s">
        <v>1182</v>
      </c>
      <c r="N304" t="s">
        <v>1842</v>
      </c>
      <c r="O304" t="s">
        <v>1174</v>
      </c>
      <c r="P304" t="s">
        <v>1843</v>
      </c>
      <c r="Q304" t="s">
        <v>1844</v>
      </c>
      <c r="S304" t="s">
        <v>1412</v>
      </c>
    </row>
    <row r="305" spans="1:27">
      <c r="A305" t="s">
        <v>1845</v>
      </c>
      <c r="B305" t="s">
        <v>294</v>
      </c>
      <c r="C305" t="s">
        <v>1846</v>
      </c>
      <c r="D305" t="s">
        <v>1149</v>
      </c>
      <c r="E305" t="s">
        <v>1847</v>
      </c>
      <c r="H305" t="s">
        <v>1338</v>
      </c>
      <c r="I305" t="s">
        <v>1339</v>
      </c>
      <c r="J305" t="s">
        <v>1804</v>
      </c>
      <c r="K305" t="s">
        <v>1805</v>
      </c>
      <c r="M305" t="s">
        <v>1182</v>
      </c>
      <c r="N305" t="s">
        <v>1848</v>
      </c>
      <c r="O305" t="s">
        <v>1174</v>
      </c>
      <c r="P305" t="s">
        <v>1849</v>
      </c>
      <c r="Q305" t="s">
        <v>1850</v>
      </c>
      <c r="S305" t="s">
        <v>1393</v>
      </c>
      <c r="AA305">
        <v>1</v>
      </c>
    </row>
    <row r="306" spans="1:27">
      <c r="A306" t="s">
        <v>791</v>
      </c>
      <c r="B306" t="s">
        <v>1486</v>
      </c>
      <c r="C306" t="s">
        <v>793</v>
      </c>
      <c r="D306" t="s">
        <v>1149</v>
      </c>
      <c r="E306" t="s">
        <v>792</v>
      </c>
      <c r="H306" t="s">
        <v>1338</v>
      </c>
      <c r="I306" t="s">
        <v>1339</v>
      </c>
      <c r="J306" t="s">
        <v>1804</v>
      </c>
      <c r="K306" t="s">
        <v>1805</v>
      </c>
      <c r="M306" t="s">
        <v>1182</v>
      </c>
      <c r="N306" t="s">
        <v>1851</v>
      </c>
      <c r="O306" t="s">
        <v>1174</v>
      </c>
      <c r="P306" t="s">
        <v>1852</v>
      </c>
      <c r="Q306" t="s">
        <v>1853</v>
      </c>
      <c r="S306" t="s">
        <v>1427</v>
      </c>
    </row>
    <row r="307" spans="1:27">
      <c r="A307" t="s">
        <v>803</v>
      </c>
      <c r="B307" t="s">
        <v>255</v>
      </c>
      <c r="C307" t="s">
        <v>805</v>
      </c>
      <c r="D307" t="s">
        <v>1149</v>
      </c>
      <c r="E307" t="s">
        <v>804</v>
      </c>
      <c r="H307" t="s">
        <v>1338</v>
      </c>
      <c r="I307" t="s">
        <v>1339</v>
      </c>
      <c r="J307" t="s">
        <v>1804</v>
      </c>
      <c r="K307" t="s">
        <v>1805</v>
      </c>
      <c r="M307" t="s">
        <v>1182</v>
      </c>
      <c r="N307" t="s">
        <v>1854</v>
      </c>
      <c r="O307" t="s">
        <v>1174</v>
      </c>
      <c r="P307" t="s">
        <v>1855</v>
      </c>
      <c r="Q307" t="s">
        <v>1856</v>
      </c>
      <c r="S307" t="s">
        <v>1857</v>
      </c>
      <c r="AA307">
        <v>1</v>
      </c>
    </row>
    <row r="308" spans="1:27">
      <c r="A308" t="s">
        <v>1858</v>
      </c>
      <c r="B308" t="s">
        <v>266</v>
      </c>
      <c r="C308" t="s">
        <v>1859</v>
      </c>
      <c r="D308" t="s">
        <v>1149</v>
      </c>
      <c r="E308" t="s">
        <v>1860</v>
      </c>
      <c r="H308" t="s">
        <v>1338</v>
      </c>
      <c r="I308" t="s">
        <v>1339</v>
      </c>
      <c r="J308" t="s">
        <v>1804</v>
      </c>
      <c r="K308" t="s">
        <v>1805</v>
      </c>
      <c r="M308" t="s">
        <v>1182</v>
      </c>
      <c r="N308" t="s">
        <v>1861</v>
      </c>
      <c r="O308" t="s">
        <v>1174</v>
      </c>
      <c r="P308" t="s">
        <v>1862</v>
      </c>
      <c r="Q308" t="s">
        <v>1863</v>
      </c>
      <c r="S308" t="s">
        <v>1534</v>
      </c>
    </row>
    <row r="309" spans="1:27">
      <c r="A309" t="s">
        <v>1864</v>
      </c>
      <c r="B309" t="s">
        <v>258</v>
      </c>
      <c r="C309" t="s">
        <v>1865</v>
      </c>
      <c r="D309" t="s">
        <v>1149</v>
      </c>
      <c r="E309" t="s">
        <v>1866</v>
      </c>
      <c r="H309" t="s">
        <v>1338</v>
      </c>
      <c r="I309" t="s">
        <v>1339</v>
      </c>
      <c r="J309" t="s">
        <v>1804</v>
      </c>
      <c r="K309" t="s">
        <v>1805</v>
      </c>
      <c r="M309" t="s">
        <v>1182</v>
      </c>
      <c r="N309" t="s">
        <v>1867</v>
      </c>
      <c r="O309" t="s">
        <v>1174</v>
      </c>
      <c r="P309" t="s">
        <v>1855</v>
      </c>
      <c r="Q309" t="s">
        <v>1868</v>
      </c>
      <c r="S309" t="s">
        <v>1829</v>
      </c>
    </row>
    <row r="310" spans="1:27">
      <c r="A310" t="s">
        <v>1869</v>
      </c>
      <c r="B310" t="s">
        <v>277</v>
      </c>
      <c r="C310" t="s">
        <v>1870</v>
      </c>
      <c r="D310" t="s">
        <v>1149</v>
      </c>
      <c r="E310" t="s">
        <v>1871</v>
      </c>
      <c r="H310" t="s">
        <v>1338</v>
      </c>
      <c r="I310" t="s">
        <v>1339</v>
      </c>
      <c r="J310" t="s">
        <v>1804</v>
      </c>
      <c r="K310" t="s">
        <v>1805</v>
      </c>
      <c r="M310" t="s">
        <v>1182</v>
      </c>
      <c r="N310" t="s">
        <v>1872</v>
      </c>
      <c r="O310" t="s">
        <v>1174</v>
      </c>
      <c r="P310" t="s">
        <v>1873</v>
      </c>
      <c r="Q310" t="s">
        <v>1874</v>
      </c>
      <c r="S310" t="s">
        <v>1383</v>
      </c>
      <c r="AA310">
        <v>1</v>
      </c>
    </row>
    <row r="311" spans="1:27">
      <c r="A311" t="s">
        <v>1875</v>
      </c>
      <c r="B311" t="s">
        <v>263</v>
      </c>
      <c r="C311" t="s">
        <v>1876</v>
      </c>
      <c r="D311" t="s">
        <v>1149</v>
      </c>
      <c r="E311" t="s">
        <v>273</v>
      </c>
      <c r="H311" t="s">
        <v>1338</v>
      </c>
      <c r="I311" t="s">
        <v>1339</v>
      </c>
      <c r="J311" t="s">
        <v>1804</v>
      </c>
      <c r="K311" t="s">
        <v>1805</v>
      </c>
      <c r="M311" t="s">
        <v>1182</v>
      </c>
      <c r="N311" t="s">
        <v>1877</v>
      </c>
      <c r="O311" t="s">
        <v>1174</v>
      </c>
      <c r="P311" t="s">
        <v>1878</v>
      </c>
      <c r="Q311" t="s">
        <v>1879</v>
      </c>
      <c r="S311" t="s">
        <v>1481</v>
      </c>
      <c r="AA311">
        <v>1</v>
      </c>
    </row>
    <row r="312" spans="1:27">
      <c r="A312" t="s">
        <v>984</v>
      </c>
      <c r="B312" t="s">
        <v>266</v>
      </c>
      <c r="C312" t="s">
        <v>1880</v>
      </c>
      <c r="D312" t="s">
        <v>1149</v>
      </c>
      <c r="E312" t="s">
        <v>985</v>
      </c>
      <c r="H312" t="s">
        <v>1338</v>
      </c>
      <c r="I312" t="s">
        <v>1339</v>
      </c>
      <c r="J312" t="s">
        <v>1159</v>
      </c>
      <c r="K312" t="s">
        <v>1328</v>
      </c>
      <c r="M312" t="s">
        <v>1182</v>
      </c>
      <c r="N312" t="s">
        <v>1806</v>
      </c>
      <c r="O312" t="s">
        <v>1174</v>
      </c>
      <c r="P312" t="s">
        <v>1807</v>
      </c>
      <c r="Q312" t="s">
        <v>1808</v>
      </c>
      <c r="S312" t="s">
        <v>1469</v>
      </c>
      <c r="U312" t="s">
        <v>986</v>
      </c>
      <c r="V312" t="s">
        <v>1177</v>
      </c>
      <c r="W312" t="s">
        <v>1178</v>
      </c>
      <c r="AA312">
        <v>0</v>
      </c>
    </row>
    <row r="313" spans="1:27">
      <c r="A313" t="s">
        <v>987</v>
      </c>
      <c r="B313" t="s">
        <v>258</v>
      </c>
      <c r="C313" t="s">
        <v>1881</v>
      </c>
      <c r="D313" t="s">
        <v>1149</v>
      </c>
      <c r="E313" t="s">
        <v>988</v>
      </c>
      <c r="H313" t="s">
        <v>1338</v>
      </c>
      <c r="I313" t="s">
        <v>1339</v>
      </c>
      <c r="J313" t="s">
        <v>1159</v>
      </c>
      <c r="K313" t="s">
        <v>1328</v>
      </c>
      <c r="M313" t="s">
        <v>1182</v>
      </c>
      <c r="N313" t="s">
        <v>1809</v>
      </c>
      <c r="O313" t="s">
        <v>1174</v>
      </c>
      <c r="P313" t="s">
        <v>1810</v>
      </c>
      <c r="Q313" t="s">
        <v>1811</v>
      </c>
      <c r="S313" t="s">
        <v>1346</v>
      </c>
      <c r="U313" t="s">
        <v>989</v>
      </c>
      <c r="V313" t="s">
        <v>1177</v>
      </c>
      <c r="W313" t="s">
        <v>1178</v>
      </c>
    </row>
    <row r="314" spans="1:27">
      <c r="A314" t="s">
        <v>993</v>
      </c>
      <c r="B314" t="s">
        <v>277</v>
      </c>
      <c r="C314" t="s">
        <v>1882</v>
      </c>
      <c r="D314" t="s">
        <v>1149</v>
      </c>
      <c r="E314" t="s">
        <v>994</v>
      </c>
      <c r="H314" t="s">
        <v>1338</v>
      </c>
      <c r="I314" t="s">
        <v>1339</v>
      </c>
      <c r="J314" t="s">
        <v>1159</v>
      </c>
      <c r="K314" t="s">
        <v>1328</v>
      </c>
      <c r="M314" t="s">
        <v>1182</v>
      </c>
      <c r="N314" t="s">
        <v>1812</v>
      </c>
      <c r="O314" t="s">
        <v>1174</v>
      </c>
      <c r="P314" t="s">
        <v>1810</v>
      </c>
      <c r="Q314" t="s">
        <v>1813</v>
      </c>
      <c r="S314" t="s">
        <v>1502</v>
      </c>
      <c r="U314" t="s">
        <v>995</v>
      </c>
      <c r="V314" t="s">
        <v>1177</v>
      </c>
      <c r="W314" t="s">
        <v>1178</v>
      </c>
    </row>
    <row r="315" spans="1:27">
      <c r="A315" t="s">
        <v>1814</v>
      </c>
      <c r="B315" t="s">
        <v>263</v>
      </c>
      <c r="C315" t="s">
        <v>1815</v>
      </c>
      <c r="D315" t="s">
        <v>1149</v>
      </c>
      <c r="E315" t="s">
        <v>1816</v>
      </c>
      <c r="H315" t="s">
        <v>1338</v>
      </c>
      <c r="I315" t="s">
        <v>1339</v>
      </c>
      <c r="J315" t="s">
        <v>1159</v>
      </c>
      <c r="K315" t="s">
        <v>1328</v>
      </c>
      <c r="M315" t="s">
        <v>1182</v>
      </c>
      <c r="N315" t="s">
        <v>1817</v>
      </c>
      <c r="O315" t="s">
        <v>1174</v>
      </c>
      <c r="P315" t="s">
        <v>1818</v>
      </c>
      <c r="Q315" t="s">
        <v>1819</v>
      </c>
      <c r="S315" t="s">
        <v>1534</v>
      </c>
      <c r="AA315">
        <v>1</v>
      </c>
    </row>
    <row r="316" spans="1:27">
      <c r="A316" t="s">
        <v>1820</v>
      </c>
      <c r="B316" t="s">
        <v>258</v>
      </c>
      <c r="C316" t="s">
        <v>1821</v>
      </c>
      <c r="D316" t="s">
        <v>1149</v>
      </c>
      <c r="E316" t="s">
        <v>1822</v>
      </c>
      <c r="H316" t="s">
        <v>1338</v>
      </c>
      <c r="I316" t="s">
        <v>1339</v>
      </c>
      <c r="J316" t="s">
        <v>1159</v>
      </c>
      <c r="K316" t="s">
        <v>1328</v>
      </c>
      <c r="M316" t="s">
        <v>1182</v>
      </c>
      <c r="N316" t="s">
        <v>1823</v>
      </c>
      <c r="O316" t="s">
        <v>1174</v>
      </c>
      <c r="P316" t="s">
        <v>1824</v>
      </c>
      <c r="Q316" t="s">
        <v>1825</v>
      </c>
      <c r="S316" t="s">
        <v>1523</v>
      </c>
      <c r="AA316">
        <v>1</v>
      </c>
    </row>
    <row r="317" spans="1:27">
      <c r="A317" t="s">
        <v>996</v>
      </c>
      <c r="B317" t="s">
        <v>260</v>
      </c>
      <c r="C317" t="s">
        <v>1883</v>
      </c>
      <c r="D317" t="s">
        <v>1149</v>
      </c>
      <c r="E317" t="s">
        <v>997</v>
      </c>
      <c r="H317" t="s">
        <v>1338</v>
      </c>
      <c r="I317" t="s">
        <v>1339</v>
      </c>
      <c r="J317" t="s">
        <v>1159</v>
      </c>
      <c r="K317" t="s">
        <v>1328</v>
      </c>
      <c r="M317" t="s">
        <v>1182</v>
      </c>
      <c r="N317" t="s">
        <v>1826</v>
      </c>
      <c r="O317" t="s">
        <v>1174</v>
      </c>
      <c r="P317" t="s">
        <v>1827</v>
      </c>
      <c r="Q317" t="s">
        <v>1828</v>
      </c>
      <c r="S317" t="s">
        <v>1829</v>
      </c>
      <c r="U317" t="s">
        <v>998</v>
      </c>
      <c r="V317" t="s">
        <v>1177</v>
      </c>
      <c r="W317" t="s">
        <v>1178</v>
      </c>
    </row>
    <row r="318" spans="1:27">
      <c r="A318" t="s">
        <v>773</v>
      </c>
      <c r="B318" t="s">
        <v>268</v>
      </c>
      <c r="C318" t="s">
        <v>1884</v>
      </c>
      <c r="D318" t="s">
        <v>1149</v>
      </c>
      <c r="E318" t="s">
        <v>774</v>
      </c>
      <c r="H318" t="s">
        <v>1338</v>
      </c>
      <c r="I318" t="s">
        <v>1339</v>
      </c>
      <c r="J318" t="s">
        <v>1159</v>
      </c>
      <c r="K318" t="s">
        <v>1328</v>
      </c>
      <c r="M318" t="s">
        <v>1182</v>
      </c>
      <c r="N318" t="s">
        <v>1830</v>
      </c>
      <c r="O318" t="s">
        <v>1174</v>
      </c>
      <c r="P318" t="s">
        <v>1831</v>
      </c>
      <c r="Q318" t="s">
        <v>1832</v>
      </c>
      <c r="S318" t="s">
        <v>1469</v>
      </c>
      <c r="U318" t="s">
        <v>775</v>
      </c>
      <c r="V318" t="s">
        <v>1177</v>
      </c>
      <c r="W318" t="s">
        <v>1178</v>
      </c>
      <c r="AA318">
        <v>1</v>
      </c>
    </row>
    <row r="319" spans="1:27">
      <c r="A319" t="s">
        <v>776</v>
      </c>
      <c r="B319" t="s">
        <v>260</v>
      </c>
      <c r="C319" t="s">
        <v>1885</v>
      </c>
      <c r="D319" t="s">
        <v>1149</v>
      </c>
      <c r="E319" t="s">
        <v>777</v>
      </c>
      <c r="H319" t="s">
        <v>1338</v>
      </c>
      <c r="I319" t="s">
        <v>1339</v>
      </c>
      <c r="J319" t="s">
        <v>1159</v>
      </c>
      <c r="K319" t="s">
        <v>1328</v>
      </c>
      <c r="M319" t="s">
        <v>1182</v>
      </c>
      <c r="N319" t="s">
        <v>1833</v>
      </c>
      <c r="O319" t="s">
        <v>1174</v>
      </c>
      <c r="P319" t="s">
        <v>1810</v>
      </c>
      <c r="Q319" t="s">
        <v>1834</v>
      </c>
      <c r="S319" t="s">
        <v>1346</v>
      </c>
      <c r="U319" t="s">
        <v>778</v>
      </c>
      <c r="V319" t="s">
        <v>1177</v>
      </c>
      <c r="W319" t="s">
        <v>1178</v>
      </c>
    </row>
    <row r="320" spans="1:27">
      <c r="A320" t="s">
        <v>1835</v>
      </c>
      <c r="B320" t="s">
        <v>258</v>
      </c>
      <c r="C320" t="s">
        <v>1886</v>
      </c>
      <c r="D320" t="s">
        <v>1149</v>
      </c>
      <c r="E320" t="s">
        <v>1837</v>
      </c>
      <c r="H320" t="s">
        <v>1338</v>
      </c>
      <c r="I320" t="s">
        <v>1339</v>
      </c>
      <c r="J320" t="s">
        <v>1159</v>
      </c>
      <c r="K320" t="s">
        <v>1328</v>
      </c>
      <c r="M320" t="s">
        <v>1182</v>
      </c>
      <c r="N320" t="s">
        <v>1838</v>
      </c>
      <c r="O320" t="s">
        <v>1174</v>
      </c>
      <c r="P320" t="s">
        <v>1839</v>
      </c>
      <c r="Q320" t="s">
        <v>1840</v>
      </c>
      <c r="S320" t="s">
        <v>1841</v>
      </c>
      <c r="U320" t="s">
        <v>1836</v>
      </c>
      <c r="V320" t="s">
        <v>1177</v>
      </c>
      <c r="W320" t="s">
        <v>1178</v>
      </c>
    </row>
    <row r="321" spans="1:27">
      <c r="A321" t="s">
        <v>788</v>
      </c>
      <c r="B321" t="s">
        <v>255</v>
      </c>
      <c r="C321" t="s">
        <v>1887</v>
      </c>
      <c r="D321" t="s">
        <v>1130</v>
      </c>
      <c r="E321" t="s">
        <v>789</v>
      </c>
      <c r="H321" t="s">
        <v>1338</v>
      </c>
      <c r="I321" t="s">
        <v>1339</v>
      </c>
      <c r="J321" t="s">
        <v>1159</v>
      </c>
      <c r="K321" t="s">
        <v>1328</v>
      </c>
      <c r="M321" t="s">
        <v>1182</v>
      </c>
      <c r="N321" t="s">
        <v>1842</v>
      </c>
      <c r="O321" t="s">
        <v>1174</v>
      </c>
      <c r="P321" t="s">
        <v>1843</v>
      </c>
      <c r="Q321" t="s">
        <v>1844</v>
      </c>
      <c r="S321" t="s">
        <v>1412</v>
      </c>
      <c r="U321" t="s">
        <v>790</v>
      </c>
      <c r="V321" t="s">
        <v>1177</v>
      </c>
      <c r="W321" t="s">
        <v>1178</v>
      </c>
    </row>
    <row r="322" spans="1:27">
      <c r="A322" t="s">
        <v>1845</v>
      </c>
      <c r="B322" t="s">
        <v>294</v>
      </c>
      <c r="C322" t="s">
        <v>1888</v>
      </c>
      <c r="D322" t="s">
        <v>1149</v>
      </c>
      <c r="E322" t="s">
        <v>1847</v>
      </c>
      <c r="H322" t="s">
        <v>1338</v>
      </c>
      <c r="I322" t="s">
        <v>1339</v>
      </c>
      <c r="J322" t="s">
        <v>1159</v>
      </c>
      <c r="K322" t="s">
        <v>1328</v>
      </c>
      <c r="M322" t="s">
        <v>1182</v>
      </c>
      <c r="N322" t="s">
        <v>1848</v>
      </c>
      <c r="O322" t="s">
        <v>1174</v>
      </c>
      <c r="P322" t="s">
        <v>1849</v>
      </c>
      <c r="Q322" t="s">
        <v>1850</v>
      </c>
      <c r="S322" t="s">
        <v>1393</v>
      </c>
      <c r="U322" t="s">
        <v>1846</v>
      </c>
      <c r="V322" t="s">
        <v>1177</v>
      </c>
      <c r="W322" t="s">
        <v>1178</v>
      </c>
      <c r="AA322">
        <v>1</v>
      </c>
    </row>
    <row r="323" spans="1:27">
      <c r="A323" t="s">
        <v>791</v>
      </c>
      <c r="B323" t="s">
        <v>1486</v>
      </c>
      <c r="C323" t="s">
        <v>1889</v>
      </c>
      <c r="D323" t="s">
        <v>1149</v>
      </c>
      <c r="E323" t="s">
        <v>792</v>
      </c>
      <c r="H323" t="s">
        <v>1338</v>
      </c>
      <c r="I323" t="s">
        <v>1339</v>
      </c>
      <c r="J323" t="s">
        <v>1159</v>
      </c>
      <c r="K323" t="s">
        <v>1328</v>
      </c>
      <c r="M323" t="s">
        <v>1182</v>
      </c>
      <c r="N323" t="s">
        <v>1851</v>
      </c>
      <c r="O323" t="s">
        <v>1174</v>
      </c>
      <c r="P323" t="s">
        <v>1852</v>
      </c>
      <c r="Q323" t="s">
        <v>1853</v>
      </c>
      <c r="S323" t="s">
        <v>1427</v>
      </c>
      <c r="U323" t="s">
        <v>793</v>
      </c>
      <c r="V323" t="s">
        <v>1177</v>
      </c>
      <c r="W323" t="s">
        <v>1178</v>
      </c>
    </row>
    <row r="324" spans="1:27">
      <c r="A324" t="s">
        <v>803</v>
      </c>
      <c r="B324" t="s">
        <v>255</v>
      </c>
      <c r="C324" t="s">
        <v>1890</v>
      </c>
      <c r="D324" t="s">
        <v>1149</v>
      </c>
      <c r="E324" t="s">
        <v>804</v>
      </c>
      <c r="H324" t="s">
        <v>1338</v>
      </c>
      <c r="I324" t="s">
        <v>1339</v>
      </c>
      <c r="J324" t="s">
        <v>1159</v>
      </c>
      <c r="K324" t="s">
        <v>1328</v>
      </c>
      <c r="M324" t="s">
        <v>1182</v>
      </c>
      <c r="N324" t="s">
        <v>1854</v>
      </c>
      <c r="O324" t="s">
        <v>1174</v>
      </c>
      <c r="P324" t="s">
        <v>1855</v>
      </c>
      <c r="Q324" t="s">
        <v>1856</v>
      </c>
      <c r="S324" t="s">
        <v>1857</v>
      </c>
      <c r="U324" t="s">
        <v>805</v>
      </c>
      <c r="V324" t="s">
        <v>1177</v>
      </c>
      <c r="W324" t="s">
        <v>1178</v>
      </c>
      <c r="AA324">
        <v>1</v>
      </c>
    </row>
    <row r="325" spans="1:27">
      <c r="A325" t="s">
        <v>1858</v>
      </c>
      <c r="B325" t="s">
        <v>266</v>
      </c>
      <c r="C325" t="s">
        <v>1891</v>
      </c>
      <c r="D325" t="s">
        <v>1149</v>
      </c>
      <c r="E325" t="s">
        <v>1860</v>
      </c>
      <c r="H325" t="s">
        <v>1338</v>
      </c>
      <c r="I325" t="s">
        <v>1339</v>
      </c>
      <c r="J325" t="s">
        <v>1159</v>
      </c>
      <c r="K325" t="s">
        <v>1328</v>
      </c>
      <c r="M325" t="s">
        <v>1182</v>
      </c>
      <c r="N325" t="s">
        <v>1861</v>
      </c>
      <c r="O325" t="s">
        <v>1174</v>
      </c>
      <c r="P325" t="s">
        <v>1862</v>
      </c>
      <c r="Q325" t="s">
        <v>1863</v>
      </c>
      <c r="S325" t="s">
        <v>1534</v>
      </c>
      <c r="U325" t="s">
        <v>1859</v>
      </c>
      <c r="V325" t="s">
        <v>1177</v>
      </c>
      <c r="W325" t="s">
        <v>1178</v>
      </c>
    </row>
    <row r="326" spans="1:27">
      <c r="A326" t="s">
        <v>1864</v>
      </c>
      <c r="B326" t="s">
        <v>258</v>
      </c>
      <c r="C326" t="s">
        <v>1892</v>
      </c>
      <c r="D326" t="s">
        <v>1149</v>
      </c>
      <c r="E326" t="s">
        <v>1866</v>
      </c>
      <c r="H326" t="s">
        <v>1338</v>
      </c>
      <c r="I326" t="s">
        <v>1339</v>
      </c>
      <c r="J326" t="s">
        <v>1159</v>
      </c>
      <c r="K326" t="s">
        <v>1328</v>
      </c>
      <c r="M326" t="s">
        <v>1182</v>
      </c>
      <c r="N326" t="s">
        <v>1867</v>
      </c>
      <c r="O326" t="s">
        <v>1174</v>
      </c>
      <c r="P326" t="s">
        <v>1855</v>
      </c>
      <c r="Q326" t="s">
        <v>1868</v>
      </c>
      <c r="S326" t="s">
        <v>1829</v>
      </c>
      <c r="U326" t="s">
        <v>1865</v>
      </c>
      <c r="V326" t="s">
        <v>1177</v>
      </c>
      <c r="W326" t="s">
        <v>1178</v>
      </c>
    </row>
    <row r="327" spans="1:27">
      <c r="A327" t="s">
        <v>1869</v>
      </c>
      <c r="B327" t="s">
        <v>277</v>
      </c>
      <c r="C327" t="s">
        <v>1893</v>
      </c>
      <c r="D327" t="s">
        <v>1149</v>
      </c>
      <c r="E327" t="s">
        <v>1871</v>
      </c>
      <c r="H327" t="s">
        <v>1338</v>
      </c>
      <c r="I327" t="s">
        <v>1339</v>
      </c>
      <c r="J327" t="s">
        <v>1159</v>
      </c>
      <c r="K327" t="s">
        <v>1328</v>
      </c>
      <c r="M327" t="s">
        <v>1182</v>
      </c>
      <c r="N327" t="s">
        <v>1872</v>
      </c>
      <c r="O327" t="s">
        <v>1174</v>
      </c>
      <c r="P327" t="s">
        <v>1873</v>
      </c>
      <c r="Q327" t="s">
        <v>1874</v>
      </c>
      <c r="S327" t="s">
        <v>1383</v>
      </c>
      <c r="U327" t="s">
        <v>1870</v>
      </c>
      <c r="V327" t="s">
        <v>1177</v>
      </c>
      <c r="W327" t="s">
        <v>1178</v>
      </c>
      <c r="AA327">
        <v>1</v>
      </c>
    </row>
    <row r="328" spans="1:27">
      <c r="A328" t="s">
        <v>1875</v>
      </c>
      <c r="B328" t="s">
        <v>263</v>
      </c>
      <c r="C328" t="s">
        <v>1894</v>
      </c>
      <c r="D328" t="s">
        <v>1149</v>
      </c>
      <c r="E328" t="s">
        <v>273</v>
      </c>
      <c r="H328" t="s">
        <v>1338</v>
      </c>
      <c r="I328" t="s">
        <v>1339</v>
      </c>
      <c r="J328" t="s">
        <v>1159</v>
      </c>
      <c r="K328" t="s">
        <v>1328</v>
      </c>
      <c r="M328" t="s">
        <v>1182</v>
      </c>
      <c r="N328" t="s">
        <v>1877</v>
      </c>
      <c r="O328" t="s">
        <v>1174</v>
      </c>
      <c r="P328" t="s">
        <v>1878</v>
      </c>
      <c r="Q328" t="s">
        <v>1879</v>
      </c>
      <c r="S328" t="s">
        <v>1481</v>
      </c>
      <c r="U328" t="s">
        <v>1876</v>
      </c>
      <c r="V328" t="s">
        <v>1177</v>
      </c>
      <c r="W328" t="s">
        <v>1178</v>
      </c>
      <c r="AA328">
        <v>1</v>
      </c>
    </row>
    <row r="329" spans="1:27">
      <c r="A329" t="s">
        <v>990</v>
      </c>
      <c r="B329" t="s">
        <v>260</v>
      </c>
      <c r="C329" t="s">
        <v>992</v>
      </c>
      <c r="D329" t="s">
        <v>1149</v>
      </c>
      <c r="E329" t="s">
        <v>991</v>
      </c>
      <c r="H329" t="s">
        <v>1338</v>
      </c>
      <c r="I329" t="s">
        <v>1339</v>
      </c>
      <c r="J329" t="s">
        <v>1804</v>
      </c>
      <c r="K329" t="s">
        <v>1895</v>
      </c>
      <c r="M329" t="s">
        <v>1182</v>
      </c>
      <c r="N329" t="s">
        <v>1896</v>
      </c>
      <c r="O329" t="s">
        <v>1174</v>
      </c>
      <c r="P329" t="s">
        <v>1810</v>
      </c>
      <c r="Q329" t="s">
        <v>1897</v>
      </c>
      <c r="S329" t="s">
        <v>1509</v>
      </c>
    </row>
    <row r="330" spans="1:27">
      <c r="A330" t="s">
        <v>779</v>
      </c>
      <c r="B330" t="s">
        <v>263</v>
      </c>
      <c r="C330" t="s">
        <v>781</v>
      </c>
      <c r="D330" t="s">
        <v>1149</v>
      </c>
      <c r="E330" t="s">
        <v>780</v>
      </c>
      <c r="H330" t="s">
        <v>1338</v>
      </c>
      <c r="I330" t="s">
        <v>1339</v>
      </c>
      <c r="J330" t="s">
        <v>1804</v>
      </c>
      <c r="K330" t="s">
        <v>1895</v>
      </c>
      <c r="M330" t="s">
        <v>1182</v>
      </c>
      <c r="N330" t="s">
        <v>1898</v>
      </c>
      <c r="O330" t="s">
        <v>1174</v>
      </c>
      <c r="P330" t="s">
        <v>1899</v>
      </c>
      <c r="Q330" t="s">
        <v>1900</v>
      </c>
      <c r="S330" t="s">
        <v>1901</v>
      </c>
    </row>
    <row r="331" spans="1:27">
      <c r="A331" t="s">
        <v>782</v>
      </c>
      <c r="B331" t="s">
        <v>255</v>
      </c>
      <c r="C331" t="s">
        <v>784</v>
      </c>
      <c r="D331" t="s">
        <v>1149</v>
      </c>
      <c r="E331" t="s">
        <v>783</v>
      </c>
      <c r="H331" t="s">
        <v>1338</v>
      </c>
      <c r="I331" t="s">
        <v>1339</v>
      </c>
      <c r="J331" t="s">
        <v>1804</v>
      </c>
      <c r="K331" t="s">
        <v>1895</v>
      </c>
      <c r="M331" t="s">
        <v>1182</v>
      </c>
      <c r="N331" t="s">
        <v>1902</v>
      </c>
      <c r="O331" t="s">
        <v>1174</v>
      </c>
      <c r="P331" t="s">
        <v>1903</v>
      </c>
      <c r="Q331" t="s">
        <v>1904</v>
      </c>
      <c r="S331" t="s">
        <v>1523</v>
      </c>
    </row>
    <row r="332" spans="1:27">
      <c r="A332" t="s">
        <v>785</v>
      </c>
      <c r="B332" t="s">
        <v>294</v>
      </c>
      <c r="C332" t="s">
        <v>787</v>
      </c>
      <c r="D332" t="s">
        <v>1130</v>
      </c>
      <c r="E332" t="s">
        <v>786</v>
      </c>
      <c r="H332" t="s">
        <v>1338</v>
      </c>
      <c r="I332" t="s">
        <v>1339</v>
      </c>
      <c r="J332" t="s">
        <v>1804</v>
      </c>
      <c r="K332" t="s">
        <v>1895</v>
      </c>
      <c r="M332" t="s">
        <v>1182</v>
      </c>
      <c r="N332" t="s">
        <v>1905</v>
      </c>
      <c r="O332" t="s">
        <v>1174</v>
      </c>
      <c r="P332" t="s">
        <v>1906</v>
      </c>
      <c r="Q332" t="s">
        <v>1907</v>
      </c>
      <c r="S332" t="s">
        <v>1523</v>
      </c>
    </row>
    <row r="333" spans="1:27">
      <c r="A333" t="s">
        <v>1908</v>
      </c>
      <c r="B333" t="s">
        <v>260</v>
      </c>
      <c r="C333" t="s">
        <v>1909</v>
      </c>
      <c r="D333" t="s">
        <v>1149</v>
      </c>
      <c r="E333" t="s">
        <v>1910</v>
      </c>
      <c r="H333" t="s">
        <v>1338</v>
      </c>
      <c r="I333" t="s">
        <v>1339</v>
      </c>
      <c r="J333" t="s">
        <v>1804</v>
      </c>
      <c r="K333" t="s">
        <v>1895</v>
      </c>
      <c r="M333" t="s">
        <v>1182</v>
      </c>
      <c r="N333" t="s">
        <v>1911</v>
      </c>
      <c r="O333" t="s">
        <v>1174</v>
      </c>
      <c r="P333" t="s">
        <v>1912</v>
      </c>
      <c r="Q333" t="s">
        <v>1913</v>
      </c>
      <c r="S333" t="s">
        <v>1914</v>
      </c>
    </row>
    <row r="334" spans="1:27">
      <c r="A334" t="s">
        <v>794</v>
      </c>
      <c r="B334" t="s">
        <v>286</v>
      </c>
      <c r="C334" t="s">
        <v>796</v>
      </c>
      <c r="D334" t="s">
        <v>1149</v>
      </c>
      <c r="E334" t="s">
        <v>795</v>
      </c>
      <c r="H334" t="s">
        <v>1338</v>
      </c>
      <c r="I334" t="s">
        <v>1339</v>
      </c>
      <c r="J334" t="s">
        <v>1804</v>
      </c>
      <c r="K334" t="s">
        <v>1895</v>
      </c>
      <c r="M334" t="s">
        <v>1182</v>
      </c>
      <c r="N334" t="s">
        <v>1915</v>
      </c>
      <c r="O334" t="s">
        <v>1174</v>
      </c>
      <c r="P334" t="s">
        <v>1916</v>
      </c>
      <c r="S334" t="s">
        <v>1427</v>
      </c>
    </row>
    <row r="335" spans="1:27">
      <c r="A335" t="s">
        <v>797</v>
      </c>
      <c r="B335" t="s">
        <v>263</v>
      </c>
      <c r="C335" t="s">
        <v>799</v>
      </c>
      <c r="D335" t="s">
        <v>1149</v>
      </c>
      <c r="E335" t="s">
        <v>798</v>
      </c>
      <c r="H335" t="s">
        <v>1338</v>
      </c>
      <c r="I335" t="s">
        <v>1339</v>
      </c>
      <c r="J335" t="s">
        <v>1804</v>
      </c>
      <c r="K335" t="s">
        <v>1895</v>
      </c>
      <c r="M335" t="s">
        <v>1182</v>
      </c>
      <c r="N335" t="s">
        <v>1917</v>
      </c>
      <c r="O335" t="s">
        <v>1174</v>
      </c>
      <c r="P335" t="s">
        <v>1916</v>
      </c>
      <c r="Q335" t="s">
        <v>1918</v>
      </c>
      <c r="S335" t="s">
        <v>1346</v>
      </c>
    </row>
    <row r="336" spans="1:27">
      <c r="A336" t="s">
        <v>1919</v>
      </c>
      <c r="B336" t="s">
        <v>263</v>
      </c>
      <c r="C336" t="s">
        <v>1920</v>
      </c>
      <c r="D336" t="s">
        <v>1149</v>
      </c>
      <c r="E336" t="s">
        <v>1921</v>
      </c>
      <c r="H336" t="s">
        <v>1338</v>
      </c>
      <c r="I336" t="s">
        <v>1339</v>
      </c>
      <c r="J336" t="s">
        <v>1804</v>
      </c>
      <c r="K336" t="s">
        <v>1895</v>
      </c>
      <c r="M336" t="s">
        <v>1182</v>
      </c>
      <c r="N336" t="s">
        <v>1922</v>
      </c>
      <c r="O336" t="s">
        <v>1174</v>
      </c>
      <c r="P336" t="s">
        <v>1916</v>
      </c>
      <c r="S336" t="s">
        <v>1469</v>
      </c>
    </row>
    <row r="337" spans="1:19">
      <c r="A337" t="s">
        <v>1919</v>
      </c>
      <c r="B337" t="s">
        <v>260</v>
      </c>
      <c r="C337" t="s">
        <v>1923</v>
      </c>
      <c r="D337" t="s">
        <v>1149</v>
      </c>
      <c r="E337" t="s">
        <v>1921</v>
      </c>
      <c r="H337" t="s">
        <v>1338</v>
      </c>
      <c r="I337" t="s">
        <v>1339</v>
      </c>
      <c r="J337" t="s">
        <v>1804</v>
      </c>
      <c r="K337" t="s">
        <v>1895</v>
      </c>
      <c r="M337" t="s">
        <v>1182</v>
      </c>
      <c r="N337" t="s">
        <v>1922</v>
      </c>
      <c r="O337" t="s">
        <v>1174</v>
      </c>
      <c r="P337" t="s">
        <v>1916</v>
      </c>
      <c r="S337" t="s">
        <v>1469</v>
      </c>
    </row>
    <row r="338" spans="1:19">
      <c r="A338" t="s">
        <v>800</v>
      </c>
      <c r="B338" t="s">
        <v>255</v>
      </c>
      <c r="C338" t="s">
        <v>802</v>
      </c>
      <c r="D338" t="s">
        <v>1149</v>
      </c>
      <c r="E338" t="s">
        <v>801</v>
      </c>
      <c r="H338" t="s">
        <v>1338</v>
      </c>
      <c r="I338" t="s">
        <v>1339</v>
      </c>
      <c r="J338" t="s">
        <v>1804</v>
      </c>
      <c r="K338" t="s">
        <v>1895</v>
      </c>
      <c r="M338" t="s">
        <v>1182</v>
      </c>
      <c r="N338" t="s">
        <v>1924</v>
      </c>
      <c r="O338" t="s">
        <v>1174</v>
      </c>
      <c r="P338" t="s">
        <v>1855</v>
      </c>
      <c r="Q338" t="s">
        <v>1925</v>
      </c>
      <c r="S338" t="s">
        <v>1481</v>
      </c>
    </row>
    <row r="339" spans="1:19">
      <c r="A339" t="s">
        <v>800</v>
      </c>
      <c r="B339" t="s">
        <v>260</v>
      </c>
      <c r="C339" t="s">
        <v>1926</v>
      </c>
      <c r="D339" t="s">
        <v>1149</v>
      </c>
      <c r="E339" t="s">
        <v>1927</v>
      </c>
      <c r="H339" t="s">
        <v>1338</v>
      </c>
      <c r="I339" t="s">
        <v>1339</v>
      </c>
      <c r="J339" t="s">
        <v>1804</v>
      </c>
      <c r="K339" t="s">
        <v>1895</v>
      </c>
      <c r="M339" t="s">
        <v>1182</v>
      </c>
      <c r="N339" t="s">
        <v>1928</v>
      </c>
      <c r="O339" t="s">
        <v>1174</v>
      </c>
      <c r="P339" t="s">
        <v>1855</v>
      </c>
      <c r="Q339" t="s">
        <v>1929</v>
      </c>
      <c r="S339" t="s">
        <v>1490</v>
      </c>
    </row>
    <row r="340" spans="1:19">
      <c r="A340" t="s">
        <v>1875</v>
      </c>
      <c r="B340" t="s">
        <v>263</v>
      </c>
      <c r="C340" t="s">
        <v>1930</v>
      </c>
      <c r="D340" t="s">
        <v>1149</v>
      </c>
      <c r="E340" t="s">
        <v>1931</v>
      </c>
      <c r="H340" t="s">
        <v>1338</v>
      </c>
      <c r="I340" t="s">
        <v>1339</v>
      </c>
      <c r="J340" t="s">
        <v>1804</v>
      </c>
      <c r="K340" t="s">
        <v>1895</v>
      </c>
      <c r="M340" t="s">
        <v>1182</v>
      </c>
      <c r="N340" t="s">
        <v>1932</v>
      </c>
      <c r="O340" t="s">
        <v>1174</v>
      </c>
      <c r="P340" t="s">
        <v>1878</v>
      </c>
      <c r="Q340" t="s">
        <v>1933</v>
      </c>
      <c r="S340" t="s">
        <v>1490</v>
      </c>
    </row>
    <row r="341" spans="1:19">
      <c r="A341" t="s">
        <v>978</v>
      </c>
      <c r="B341" t="s">
        <v>289</v>
      </c>
      <c r="C341" t="s">
        <v>980</v>
      </c>
      <c r="D341" t="s">
        <v>1149</v>
      </c>
      <c r="E341" t="s">
        <v>979</v>
      </c>
      <c r="H341" t="s">
        <v>1934</v>
      </c>
      <c r="I341" t="s">
        <v>1935</v>
      </c>
      <c r="J341" t="s">
        <v>1936</v>
      </c>
      <c r="K341" t="s">
        <v>1937</v>
      </c>
      <c r="N341" t="s">
        <v>1938</v>
      </c>
      <c r="O341" t="s">
        <v>1174</v>
      </c>
      <c r="P341" t="s">
        <v>1939</v>
      </c>
      <c r="Q341" t="s">
        <v>1940</v>
      </c>
      <c r="S341" t="s">
        <v>1427</v>
      </c>
    </row>
    <row r="342" spans="1:19">
      <c r="A342" t="s">
        <v>849</v>
      </c>
      <c r="B342" t="s">
        <v>258</v>
      </c>
      <c r="C342" t="s">
        <v>851</v>
      </c>
      <c r="D342" t="s">
        <v>1149</v>
      </c>
      <c r="E342" t="s">
        <v>850</v>
      </c>
      <c r="H342" t="s">
        <v>1934</v>
      </c>
      <c r="I342" t="s">
        <v>1935</v>
      </c>
      <c r="J342" t="s">
        <v>1936</v>
      </c>
      <c r="K342" t="s">
        <v>1937</v>
      </c>
      <c r="N342" t="s">
        <v>1941</v>
      </c>
      <c r="O342" t="s">
        <v>1174</v>
      </c>
      <c r="P342" t="s">
        <v>1942</v>
      </c>
      <c r="Q342" t="s">
        <v>1943</v>
      </c>
      <c r="S342" t="s">
        <v>1567</v>
      </c>
    </row>
    <row r="343" spans="1:19">
      <c r="A343" t="s">
        <v>700</v>
      </c>
      <c r="B343" t="s">
        <v>280</v>
      </c>
      <c r="C343" t="s">
        <v>702</v>
      </c>
      <c r="D343" t="s">
        <v>1130</v>
      </c>
      <c r="E343" t="s">
        <v>701</v>
      </c>
      <c r="H343" t="s">
        <v>1934</v>
      </c>
      <c r="I343" t="s">
        <v>1935</v>
      </c>
      <c r="J343" t="s">
        <v>1936</v>
      </c>
      <c r="K343" t="s">
        <v>1937</v>
      </c>
      <c r="N343" t="s">
        <v>1944</v>
      </c>
      <c r="O343" t="s">
        <v>1174</v>
      </c>
      <c r="P343" t="s">
        <v>1945</v>
      </c>
      <c r="Q343" t="s">
        <v>1946</v>
      </c>
      <c r="S343" t="s">
        <v>1350</v>
      </c>
    </row>
    <row r="344" spans="1:19">
      <c r="A344" t="s">
        <v>703</v>
      </c>
      <c r="B344" t="s">
        <v>1486</v>
      </c>
      <c r="C344" t="s">
        <v>705</v>
      </c>
      <c r="D344" t="s">
        <v>1130</v>
      </c>
      <c r="E344" t="s">
        <v>704</v>
      </c>
      <c r="H344" t="s">
        <v>1934</v>
      </c>
      <c r="I344" t="s">
        <v>1935</v>
      </c>
      <c r="J344" t="s">
        <v>1936</v>
      </c>
      <c r="K344" t="s">
        <v>1937</v>
      </c>
      <c r="N344" t="s">
        <v>1947</v>
      </c>
      <c r="O344" t="s">
        <v>1174</v>
      </c>
      <c r="P344" t="s">
        <v>1945</v>
      </c>
      <c r="Q344" t="s">
        <v>1948</v>
      </c>
      <c r="S344" t="s">
        <v>1350</v>
      </c>
    </row>
    <row r="345" spans="1:19">
      <c r="A345" t="s">
        <v>869</v>
      </c>
      <c r="B345" t="s">
        <v>268</v>
      </c>
      <c r="C345" t="s">
        <v>871</v>
      </c>
      <c r="D345" t="s">
        <v>1149</v>
      </c>
      <c r="E345" t="s">
        <v>870</v>
      </c>
      <c r="H345" t="s">
        <v>1934</v>
      </c>
      <c r="I345" t="s">
        <v>1935</v>
      </c>
      <c r="J345" t="s">
        <v>1936</v>
      </c>
      <c r="K345" t="s">
        <v>1937</v>
      </c>
      <c r="N345" t="s">
        <v>1949</v>
      </c>
      <c r="O345" t="s">
        <v>1174</v>
      </c>
      <c r="P345" t="s">
        <v>1950</v>
      </c>
      <c r="Q345" t="s">
        <v>1951</v>
      </c>
      <c r="S345" t="s">
        <v>1401</v>
      </c>
    </row>
    <row r="346" spans="1:19">
      <c r="A346" t="s">
        <v>872</v>
      </c>
      <c r="B346" t="s">
        <v>271</v>
      </c>
      <c r="C346" t="s">
        <v>874</v>
      </c>
      <c r="D346" t="s">
        <v>1149</v>
      </c>
      <c r="E346" t="s">
        <v>873</v>
      </c>
      <c r="H346" t="s">
        <v>1952</v>
      </c>
      <c r="I346" t="s">
        <v>1935</v>
      </c>
      <c r="J346" t="s">
        <v>1936</v>
      </c>
      <c r="K346" t="s">
        <v>1937</v>
      </c>
      <c r="N346" t="s">
        <v>1953</v>
      </c>
      <c r="O346" t="s">
        <v>1174</v>
      </c>
      <c r="P346" t="s">
        <v>1954</v>
      </c>
      <c r="Q346" t="s">
        <v>1955</v>
      </c>
      <c r="S346" t="s">
        <v>1401</v>
      </c>
    </row>
    <row r="347" spans="1:19">
      <c r="A347" t="s">
        <v>875</v>
      </c>
      <c r="B347" t="s">
        <v>266</v>
      </c>
      <c r="C347" t="s">
        <v>877</v>
      </c>
      <c r="D347" t="s">
        <v>1130</v>
      </c>
      <c r="E347" t="s">
        <v>876</v>
      </c>
      <c r="H347" t="s">
        <v>1952</v>
      </c>
      <c r="I347" t="s">
        <v>1935</v>
      </c>
      <c r="J347" t="s">
        <v>1936</v>
      </c>
      <c r="K347" t="s">
        <v>1937</v>
      </c>
      <c r="N347" t="s">
        <v>1956</v>
      </c>
      <c r="O347" t="s">
        <v>1174</v>
      </c>
      <c r="P347" t="s">
        <v>1957</v>
      </c>
      <c r="Q347" t="s">
        <v>1958</v>
      </c>
      <c r="S347" t="s">
        <v>1523</v>
      </c>
    </row>
    <row r="348" spans="1:19">
      <c r="A348" t="s">
        <v>833</v>
      </c>
      <c r="B348" t="s">
        <v>277</v>
      </c>
      <c r="C348" t="s">
        <v>835</v>
      </c>
      <c r="D348" t="s">
        <v>1149</v>
      </c>
      <c r="E348" t="s">
        <v>834</v>
      </c>
      <c r="H348" t="s">
        <v>1959</v>
      </c>
      <c r="I348" t="s">
        <v>1935</v>
      </c>
      <c r="J348" t="s">
        <v>1960</v>
      </c>
      <c r="K348" t="s">
        <v>1961</v>
      </c>
      <c r="N348" t="s">
        <v>1962</v>
      </c>
      <c r="O348" t="s">
        <v>1174</v>
      </c>
      <c r="P348" t="s">
        <v>1963</v>
      </c>
      <c r="Q348" t="s">
        <v>1964</v>
      </c>
      <c r="S348" t="s">
        <v>1386</v>
      </c>
    </row>
    <row r="349" spans="1:19">
      <c r="A349" t="s">
        <v>836</v>
      </c>
      <c r="B349" t="s">
        <v>280</v>
      </c>
      <c r="C349" t="s">
        <v>838</v>
      </c>
      <c r="D349" t="s">
        <v>1149</v>
      </c>
      <c r="E349" t="s">
        <v>837</v>
      </c>
      <c r="H349" t="s">
        <v>1959</v>
      </c>
      <c r="I349" t="s">
        <v>1935</v>
      </c>
      <c r="J349" t="s">
        <v>1960</v>
      </c>
      <c r="K349" t="s">
        <v>1961</v>
      </c>
      <c r="N349" t="s">
        <v>1965</v>
      </c>
      <c r="O349" t="s">
        <v>1174</v>
      </c>
      <c r="P349" t="s">
        <v>1963</v>
      </c>
      <c r="Q349" t="s">
        <v>1966</v>
      </c>
      <c r="S349" t="s">
        <v>1386</v>
      </c>
    </row>
    <row r="350" spans="1:19">
      <c r="A350" t="s">
        <v>846</v>
      </c>
      <c r="B350" t="s">
        <v>278</v>
      </c>
      <c r="C350" t="s">
        <v>848</v>
      </c>
      <c r="D350" t="s">
        <v>1149</v>
      </c>
      <c r="E350" t="s">
        <v>847</v>
      </c>
      <c r="H350" t="s">
        <v>1959</v>
      </c>
      <c r="I350" t="s">
        <v>1935</v>
      </c>
      <c r="J350" t="s">
        <v>1960</v>
      </c>
      <c r="K350" t="s">
        <v>1961</v>
      </c>
      <c r="N350" t="s">
        <v>1967</v>
      </c>
      <c r="O350" t="s">
        <v>1174</v>
      </c>
      <c r="P350" t="s">
        <v>1968</v>
      </c>
      <c r="Q350" t="s">
        <v>1969</v>
      </c>
      <c r="S350" t="s">
        <v>1386</v>
      </c>
    </row>
    <row r="351" spans="1:19">
      <c r="A351" t="s">
        <v>763</v>
      </c>
      <c r="B351" t="s">
        <v>283</v>
      </c>
      <c r="C351" t="s">
        <v>765</v>
      </c>
      <c r="D351" t="s">
        <v>1149</v>
      </c>
      <c r="E351" t="s">
        <v>764</v>
      </c>
      <c r="H351" t="s">
        <v>1959</v>
      </c>
      <c r="I351" t="s">
        <v>1935</v>
      </c>
      <c r="J351" t="s">
        <v>1960</v>
      </c>
      <c r="K351" t="s">
        <v>1961</v>
      </c>
      <c r="N351" t="s">
        <v>1970</v>
      </c>
      <c r="O351" t="s">
        <v>1174</v>
      </c>
      <c r="P351" t="s">
        <v>1971</v>
      </c>
      <c r="Q351" t="s">
        <v>1972</v>
      </c>
      <c r="S351" t="s">
        <v>1427</v>
      </c>
    </row>
    <row r="352" spans="1:19">
      <c r="A352" t="s">
        <v>1973</v>
      </c>
      <c r="B352" t="s">
        <v>1495</v>
      </c>
      <c r="C352" t="s">
        <v>1974</v>
      </c>
      <c r="D352" t="s">
        <v>1149</v>
      </c>
      <c r="E352" t="s">
        <v>1975</v>
      </c>
      <c r="H352" t="s">
        <v>1959</v>
      </c>
      <c r="I352" t="s">
        <v>1935</v>
      </c>
      <c r="J352" t="s">
        <v>1960</v>
      </c>
      <c r="K352" t="s">
        <v>1961</v>
      </c>
      <c r="N352" t="s">
        <v>1976</v>
      </c>
      <c r="O352" t="s">
        <v>1174</v>
      </c>
      <c r="P352" t="s">
        <v>1977</v>
      </c>
      <c r="Q352" t="s">
        <v>1978</v>
      </c>
      <c r="S352" t="s">
        <v>1427</v>
      </c>
    </row>
    <row r="353" spans="1:19">
      <c r="A353" t="s">
        <v>1031</v>
      </c>
      <c r="B353" t="s">
        <v>258</v>
      </c>
      <c r="C353" t="s">
        <v>1033</v>
      </c>
      <c r="D353" t="s">
        <v>1149</v>
      </c>
      <c r="E353" t="s">
        <v>1032</v>
      </c>
      <c r="H353" t="s">
        <v>1979</v>
      </c>
      <c r="I353" t="s">
        <v>1935</v>
      </c>
      <c r="J353" t="s">
        <v>1960</v>
      </c>
      <c r="K353" t="s">
        <v>1961</v>
      </c>
      <c r="N353" t="s">
        <v>1980</v>
      </c>
      <c r="O353" t="s">
        <v>1174</v>
      </c>
      <c r="P353" t="s">
        <v>1981</v>
      </c>
      <c r="Q353" t="s">
        <v>1982</v>
      </c>
      <c r="S353" t="s">
        <v>1983</v>
      </c>
    </row>
    <row r="354" spans="1:19">
      <c r="A354" t="s">
        <v>972</v>
      </c>
      <c r="B354" t="s">
        <v>268</v>
      </c>
      <c r="C354" t="s">
        <v>974</v>
      </c>
      <c r="D354" t="s">
        <v>1149</v>
      </c>
      <c r="E354" t="s">
        <v>973</v>
      </c>
      <c r="H354" t="s">
        <v>1979</v>
      </c>
      <c r="I354" t="s">
        <v>1935</v>
      </c>
      <c r="J354" t="s">
        <v>1960</v>
      </c>
      <c r="K354" t="s">
        <v>1961</v>
      </c>
      <c r="N354" t="s">
        <v>1984</v>
      </c>
      <c r="O354" t="s">
        <v>1174</v>
      </c>
      <c r="P354" t="s">
        <v>1985</v>
      </c>
      <c r="Q354" t="s">
        <v>1986</v>
      </c>
      <c r="S354" t="s">
        <v>1393</v>
      </c>
    </row>
    <row r="355" spans="1:19">
      <c r="A355" t="s">
        <v>975</v>
      </c>
      <c r="B355" t="s">
        <v>266</v>
      </c>
      <c r="C355" t="s">
        <v>977</v>
      </c>
      <c r="D355" t="s">
        <v>1149</v>
      </c>
      <c r="E355" t="s">
        <v>976</v>
      </c>
      <c r="H355" t="s">
        <v>1979</v>
      </c>
      <c r="I355" t="s">
        <v>1935</v>
      </c>
      <c r="J355" t="s">
        <v>1960</v>
      </c>
      <c r="K355" t="s">
        <v>1961</v>
      </c>
      <c r="N355" t="s">
        <v>1987</v>
      </c>
      <c r="O355" t="s">
        <v>1174</v>
      </c>
      <c r="P355" t="s">
        <v>1988</v>
      </c>
      <c r="Q355" t="s">
        <v>1989</v>
      </c>
      <c r="S355" t="s">
        <v>1393</v>
      </c>
    </row>
    <row r="356" spans="1:19">
      <c r="A356" t="s">
        <v>1034</v>
      </c>
      <c r="B356" t="s">
        <v>255</v>
      </c>
      <c r="C356" t="s">
        <v>1036</v>
      </c>
      <c r="D356" t="s">
        <v>1149</v>
      </c>
      <c r="E356" t="s">
        <v>1035</v>
      </c>
      <c r="H356" t="s">
        <v>1979</v>
      </c>
      <c r="I356" t="s">
        <v>1935</v>
      </c>
      <c r="J356" t="s">
        <v>1960</v>
      </c>
      <c r="K356" t="s">
        <v>1961</v>
      </c>
      <c r="N356" t="s">
        <v>1990</v>
      </c>
      <c r="O356" t="s">
        <v>1174</v>
      </c>
      <c r="P356" t="s">
        <v>1991</v>
      </c>
      <c r="Q356" t="s">
        <v>1992</v>
      </c>
      <c r="S356" t="s">
        <v>1914</v>
      </c>
    </row>
    <row r="357" spans="1:19">
      <c r="A357" t="s">
        <v>1037</v>
      </c>
      <c r="B357" t="s">
        <v>258</v>
      </c>
      <c r="C357" t="s">
        <v>1039</v>
      </c>
      <c r="D357" t="s">
        <v>1149</v>
      </c>
      <c r="E357" t="s">
        <v>1038</v>
      </c>
      <c r="H357" t="s">
        <v>1979</v>
      </c>
      <c r="I357" t="s">
        <v>1935</v>
      </c>
      <c r="J357" t="s">
        <v>1960</v>
      </c>
      <c r="K357" t="s">
        <v>1961</v>
      </c>
      <c r="N357" t="s">
        <v>1993</v>
      </c>
      <c r="O357" t="s">
        <v>1174</v>
      </c>
      <c r="P357" t="s">
        <v>1968</v>
      </c>
      <c r="Q357" t="s">
        <v>1994</v>
      </c>
      <c r="S357" t="s">
        <v>1914</v>
      </c>
    </row>
    <row r="358" spans="1:19">
      <c r="A358" t="s">
        <v>1995</v>
      </c>
      <c r="B358" t="s">
        <v>294</v>
      </c>
      <c r="C358" t="s">
        <v>1996</v>
      </c>
      <c r="D358" t="s">
        <v>1149</v>
      </c>
      <c r="E358" t="s">
        <v>1997</v>
      </c>
      <c r="H358" t="s">
        <v>1998</v>
      </c>
      <c r="I358" t="s">
        <v>1935</v>
      </c>
      <c r="J358" t="s">
        <v>1999</v>
      </c>
      <c r="K358" t="s">
        <v>2000</v>
      </c>
      <c r="N358" t="s">
        <v>2001</v>
      </c>
      <c r="O358" t="s">
        <v>1174</v>
      </c>
      <c r="P358" t="s">
        <v>2002</v>
      </c>
      <c r="Q358" t="s">
        <v>2003</v>
      </c>
      <c r="S358" t="s">
        <v>1709</v>
      </c>
    </row>
    <row r="359" spans="1:19">
      <c r="A359" t="s">
        <v>969</v>
      </c>
      <c r="B359" t="s">
        <v>258</v>
      </c>
      <c r="C359" t="s">
        <v>971</v>
      </c>
      <c r="D359" t="s">
        <v>1149</v>
      </c>
      <c r="E359" t="s">
        <v>970</v>
      </c>
      <c r="H359" t="s">
        <v>1998</v>
      </c>
      <c r="I359" t="s">
        <v>1935</v>
      </c>
      <c r="J359" t="s">
        <v>1999</v>
      </c>
      <c r="K359" t="s">
        <v>2000</v>
      </c>
      <c r="N359" t="s">
        <v>2004</v>
      </c>
      <c r="O359" t="s">
        <v>1174</v>
      </c>
      <c r="P359" t="s">
        <v>2005</v>
      </c>
      <c r="Q359" t="s">
        <v>2006</v>
      </c>
      <c r="S359" t="s">
        <v>1737</v>
      </c>
    </row>
    <row r="360" spans="1:19">
      <c r="A360" t="s">
        <v>830</v>
      </c>
      <c r="B360" t="s">
        <v>278</v>
      </c>
      <c r="C360" t="s">
        <v>832</v>
      </c>
      <c r="D360" t="s">
        <v>1149</v>
      </c>
      <c r="E360" t="s">
        <v>831</v>
      </c>
      <c r="H360" t="s">
        <v>1998</v>
      </c>
      <c r="I360" t="s">
        <v>1935</v>
      </c>
      <c r="J360" t="s">
        <v>1999</v>
      </c>
      <c r="K360" t="s">
        <v>2000</v>
      </c>
      <c r="N360" t="s">
        <v>2007</v>
      </c>
      <c r="O360" t="s">
        <v>1174</v>
      </c>
      <c r="P360" t="s">
        <v>2008</v>
      </c>
      <c r="Q360" t="s">
        <v>2009</v>
      </c>
      <c r="S360" t="s">
        <v>1376</v>
      </c>
    </row>
    <row r="361" spans="1:19">
      <c r="A361" t="s">
        <v>2010</v>
      </c>
      <c r="B361" t="s">
        <v>280</v>
      </c>
      <c r="C361" t="s">
        <v>2011</v>
      </c>
      <c r="D361" t="s">
        <v>1149</v>
      </c>
      <c r="E361" t="s">
        <v>2012</v>
      </c>
      <c r="H361" t="s">
        <v>1998</v>
      </c>
      <c r="I361" t="s">
        <v>1935</v>
      </c>
      <c r="J361" t="s">
        <v>1999</v>
      </c>
      <c r="K361" t="s">
        <v>2000</v>
      </c>
      <c r="N361" t="s">
        <v>2013</v>
      </c>
      <c r="O361" t="s">
        <v>1174</v>
      </c>
      <c r="P361" t="s">
        <v>2014</v>
      </c>
      <c r="Q361" t="s">
        <v>2015</v>
      </c>
      <c r="S361" t="s">
        <v>1376</v>
      </c>
    </row>
    <row r="362" spans="1:19">
      <c r="A362" t="s">
        <v>1028</v>
      </c>
      <c r="B362" t="s">
        <v>255</v>
      </c>
      <c r="C362" t="s">
        <v>1030</v>
      </c>
      <c r="D362" t="s">
        <v>1149</v>
      </c>
      <c r="E362" t="s">
        <v>1029</v>
      </c>
      <c r="H362" t="s">
        <v>1998</v>
      </c>
      <c r="I362" t="s">
        <v>1935</v>
      </c>
      <c r="J362" t="s">
        <v>1999</v>
      </c>
      <c r="K362" t="s">
        <v>2000</v>
      </c>
      <c r="N362" t="s">
        <v>2016</v>
      </c>
      <c r="O362" t="s">
        <v>1174</v>
      </c>
      <c r="P362" t="s">
        <v>2017</v>
      </c>
      <c r="Q362" t="s">
        <v>2018</v>
      </c>
      <c r="S362" t="s">
        <v>1983</v>
      </c>
    </row>
    <row r="363" spans="1:19">
      <c r="A363" t="s">
        <v>981</v>
      </c>
      <c r="B363" t="s">
        <v>280</v>
      </c>
      <c r="C363" t="s">
        <v>983</v>
      </c>
      <c r="D363" t="s">
        <v>1149</v>
      </c>
      <c r="E363" t="s">
        <v>982</v>
      </c>
      <c r="H363" t="s">
        <v>2019</v>
      </c>
      <c r="I363" t="s">
        <v>1935</v>
      </c>
      <c r="J363" t="s">
        <v>1999</v>
      </c>
      <c r="K363" t="s">
        <v>2000</v>
      </c>
      <c r="N363" t="s">
        <v>2020</v>
      </c>
      <c r="O363" t="s">
        <v>1174</v>
      </c>
      <c r="P363" t="s">
        <v>2021</v>
      </c>
      <c r="Q363" t="s">
        <v>2022</v>
      </c>
      <c r="S363" t="s">
        <v>1841</v>
      </c>
    </row>
    <row r="364" spans="1:19">
      <c r="A364" t="s">
        <v>2023</v>
      </c>
      <c r="B364" t="s">
        <v>1486</v>
      </c>
      <c r="C364" t="s">
        <v>2024</v>
      </c>
      <c r="D364" t="s">
        <v>1149</v>
      </c>
      <c r="E364" t="s">
        <v>2025</v>
      </c>
      <c r="H364" t="s">
        <v>2019</v>
      </c>
      <c r="I364" t="s">
        <v>1935</v>
      </c>
      <c r="J364" t="s">
        <v>1999</v>
      </c>
      <c r="K364" t="s">
        <v>2000</v>
      </c>
      <c r="N364" t="s">
        <v>2026</v>
      </c>
      <c r="O364" t="s">
        <v>1174</v>
      </c>
      <c r="P364" t="s">
        <v>2021</v>
      </c>
      <c r="Q364" t="s">
        <v>2027</v>
      </c>
      <c r="S364" t="s">
        <v>1841</v>
      </c>
    </row>
    <row r="365" spans="1:19">
      <c r="A365" t="s">
        <v>2028</v>
      </c>
      <c r="B365" t="s">
        <v>283</v>
      </c>
      <c r="C365" t="s">
        <v>2029</v>
      </c>
      <c r="D365" t="s">
        <v>1149</v>
      </c>
      <c r="E365" t="s">
        <v>2030</v>
      </c>
      <c r="H365" t="s">
        <v>2019</v>
      </c>
      <c r="I365" t="s">
        <v>1935</v>
      </c>
      <c r="J365" t="s">
        <v>1999</v>
      </c>
      <c r="K365" t="s">
        <v>2000</v>
      </c>
      <c r="N365" t="s">
        <v>2031</v>
      </c>
      <c r="O365" t="s">
        <v>1174</v>
      </c>
      <c r="P365" t="s">
        <v>2021</v>
      </c>
      <c r="Q365" t="s">
        <v>2032</v>
      </c>
      <c r="S365" t="s">
        <v>1841</v>
      </c>
    </row>
    <row r="366" spans="1:19">
      <c r="A366" t="s">
        <v>1040</v>
      </c>
      <c r="B366" t="s">
        <v>289</v>
      </c>
      <c r="C366" t="s">
        <v>1042</v>
      </c>
      <c r="D366" t="s">
        <v>1149</v>
      </c>
      <c r="E366" t="s">
        <v>1041</v>
      </c>
      <c r="H366" t="s">
        <v>2019</v>
      </c>
      <c r="I366" t="s">
        <v>1935</v>
      </c>
      <c r="J366" t="s">
        <v>1999</v>
      </c>
      <c r="K366" t="s">
        <v>2000</v>
      </c>
      <c r="N366" t="s">
        <v>2033</v>
      </c>
      <c r="O366" t="s">
        <v>1174</v>
      </c>
      <c r="P366" t="s">
        <v>2034</v>
      </c>
      <c r="Q366" t="s">
        <v>2035</v>
      </c>
      <c r="S366" t="s">
        <v>1841</v>
      </c>
    </row>
    <row r="367" spans="1:19">
      <c r="A367" t="s">
        <v>1043</v>
      </c>
      <c r="B367" t="s">
        <v>296</v>
      </c>
      <c r="C367" t="s">
        <v>1045</v>
      </c>
      <c r="D367" t="s">
        <v>1149</v>
      </c>
      <c r="E367" t="s">
        <v>1044</v>
      </c>
      <c r="H367" t="s">
        <v>2019</v>
      </c>
      <c r="I367" t="s">
        <v>1935</v>
      </c>
      <c r="J367" t="s">
        <v>1999</v>
      </c>
      <c r="K367" t="s">
        <v>2000</v>
      </c>
      <c r="N367" t="s">
        <v>2036</v>
      </c>
      <c r="O367" t="s">
        <v>1174</v>
      </c>
      <c r="P367" t="s">
        <v>2037</v>
      </c>
      <c r="Q367" t="s">
        <v>2038</v>
      </c>
      <c r="S367" t="s">
        <v>1841</v>
      </c>
    </row>
    <row r="368" spans="1:19">
      <c r="A368" t="s">
        <v>760</v>
      </c>
      <c r="B368" t="s">
        <v>260</v>
      </c>
      <c r="C368" t="s">
        <v>762</v>
      </c>
      <c r="D368" t="s">
        <v>1149</v>
      </c>
      <c r="E368" t="s">
        <v>761</v>
      </c>
      <c r="H368" t="s">
        <v>2039</v>
      </c>
      <c r="I368" t="s">
        <v>1935</v>
      </c>
      <c r="J368" t="s">
        <v>2040</v>
      </c>
      <c r="K368" t="s">
        <v>2041</v>
      </c>
      <c r="N368" t="s">
        <v>2042</v>
      </c>
      <c r="O368" t="s">
        <v>1174</v>
      </c>
      <c r="P368" t="s">
        <v>1963</v>
      </c>
      <c r="Q368" t="s">
        <v>2043</v>
      </c>
      <c r="S368" t="s">
        <v>2044</v>
      </c>
    </row>
    <row r="369" spans="1:19">
      <c r="A369" t="s">
        <v>1017</v>
      </c>
      <c r="B369" t="s">
        <v>255</v>
      </c>
      <c r="C369" t="s">
        <v>1019</v>
      </c>
      <c r="D369" t="s">
        <v>1149</v>
      </c>
      <c r="E369" t="s">
        <v>1018</v>
      </c>
      <c r="H369" t="s">
        <v>2039</v>
      </c>
      <c r="I369" t="s">
        <v>1935</v>
      </c>
      <c r="J369" t="s">
        <v>2040</v>
      </c>
      <c r="K369" t="s">
        <v>2041</v>
      </c>
      <c r="N369" t="s">
        <v>2045</v>
      </c>
      <c r="O369" t="s">
        <v>1174</v>
      </c>
      <c r="P369" t="s">
        <v>2046</v>
      </c>
      <c r="Q369" t="s">
        <v>2047</v>
      </c>
      <c r="S369" t="s">
        <v>2048</v>
      </c>
    </row>
    <row r="370" spans="1:19">
      <c r="A370" t="s">
        <v>696</v>
      </c>
      <c r="B370" t="s">
        <v>255</v>
      </c>
      <c r="C370" t="s">
        <v>698</v>
      </c>
      <c r="D370" t="s">
        <v>1130</v>
      </c>
      <c r="E370" t="s">
        <v>697</v>
      </c>
      <c r="H370" t="s">
        <v>2039</v>
      </c>
      <c r="I370" t="s">
        <v>1935</v>
      </c>
      <c r="J370" t="s">
        <v>2040</v>
      </c>
      <c r="K370" t="s">
        <v>2041</v>
      </c>
      <c r="N370" t="s">
        <v>2049</v>
      </c>
      <c r="O370" t="s">
        <v>1174</v>
      </c>
      <c r="P370" t="s">
        <v>1963</v>
      </c>
      <c r="Q370" t="s">
        <v>2050</v>
      </c>
      <c r="S370" t="s">
        <v>1841</v>
      </c>
    </row>
    <row r="371" spans="1:19">
      <c r="A371" t="s">
        <v>706</v>
      </c>
      <c r="B371" t="s">
        <v>277</v>
      </c>
      <c r="C371" t="s">
        <v>708</v>
      </c>
      <c r="D371" t="s">
        <v>1149</v>
      </c>
      <c r="E371" t="s">
        <v>707</v>
      </c>
      <c r="H371" t="s">
        <v>2039</v>
      </c>
      <c r="I371" t="s">
        <v>1935</v>
      </c>
      <c r="J371" t="s">
        <v>2040</v>
      </c>
      <c r="K371" t="s">
        <v>2041</v>
      </c>
      <c r="N371" t="s">
        <v>2051</v>
      </c>
      <c r="O371" t="s">
        <v>1174</v>
      </c>
      <c r="P371" t="s">
        <v>2052</v>
      </c>
      <c r="Q371" t="s">
        <v>2053</v>
      </c>
      <c r="S371" t="s">
        <v>1841</v>
      </c>
    </row>
    <row r="372" spans="1:19">
      <c r="A372" t="s">
        <v>2054</v>
      </c>
      <c r="B372" t="s">
        <v>278</v>
      </c>
      <c r="C372" t="s">
        <v>2055</v>
      </c>
      <c r="D372" t="s">
        <v>1149</v>
      </c>
      <c r="E372" t="s">
        <v>2056</v>
      </c>
      <c r="H372" t="s">
        <v>2039</v>
      </c>
      <c r="I372" t="s">
        <v>1935</v>
      </c>
      <c r="J372" t="s">
        <v>2040</v>
      </c>
      <c r="K372" t="s">
        <v>2041</v>
      </c>
      <c r="N372" t="s">
        <v>2057</v>
      </c>
      <c r="O372" t="s">
        <v>1174</v>
      </c>
      <c r="P372" t="s">
        <v>2058</v>
      </c>
      <c r="Q372" t="s">
        <v>2059</v>
      </c>
      <c r="S372" t="s">
        <v>1841</v>
      </c>
    </row>
    <row r="373" spans="1:19">
      <c r="A373" t="s">
        <v>748</v>
      </c>
      <c r="B373" t="s">
        <v>255</v>
      </c>
      <c r="C373" t="s">
        <v>750</v>
      </c>
      <c r="D373" t="s">
        <v>1149</v>
      </c>
      <c r="E373" t="s">
        <v>749</v>
      </c>
      <c r="H373" t="s">
        <v>2060</v>
      </c>
      <c r="I373" t="s">
        <v>1935</v>
      </c>
      <c r="J373" t="s">
        <v>2040</v>
      </c>
      <c r="K373" t="s">
        <v>2041</v>
      </c>
      <c r="N373" t="s">
        <v>2061</v>
      </c>
      <c r="O373" t="s">
        <v>1174</v>
      </c>
      <c r="P373" t="s">
        <v>1963</v>
      </c>
      <c r="Q373" t="s">
        <v>2062</v>
      </c>
      <c r="S373" t="s">
        <v>2063</v>
      </c>
    </row>
    <row r="374" spans="1:19">
      <c r="A374" t="s">
        <v>751</v>
      </c>
      <c r="B374" t="s">
        <v>258</v>
      </c>
      <c r="C374" t="s">
        <v>753</v>
      </c>
      <c r="D374" t="s">
        <v>1149</v>
      </c>
      <c r="E374" t="s">
        <v>752</v>
      </c>
      <c r="H374" t="s">
        <v>2060</v>
      </c>
      <c r="I374" t="s">
        <v>1935</v>
      </c>
      <c r="J374" t="s">
        <v>2040</v>
      </c>
      <c r="K374" t="s">
        <v>2041</v>
      </c>
      <c r="N374" t="s">
        <v>2064</v>
      </c>
      <c r="O374" t="s">
        <v>1174</v>
      </c>
      <c r="P374" t="s">
        <v>1963</v>
      </c>
      <c r="Q374" t="s">
        <v>2065</v>
      </c>
      <c r="S374" t="s">
        <v>2063</v>
      </c>
    </row>
    <row r="375" spans="1:19">
      <c r="A375" t="s">
        <v>754</v>
      </c>
      <c r="B375" t="s">
        <v>260</v>
      </c>
      <c r="C375" t="s">
        <v>756</v>
      </c>
      <c r="D375" t="s">
        <v>1149</v>
      </c>
      <c r="E375" t="s">
        <v>755</v>
      </c>
      <c r="H375" t="s">
        <v>2060</v>
      </c>
      <c r="I375" t="s">
        <v>1935</v>
      </c>
      <c r="J375" t="s">
        <v>2040</v>
      </c>
      <c r="K375" t="s">
        <v>2041</v>
      </c>
      <c r="N375" t="s">
        <v>2066</v>
      </c>
      <c r="O375" t="s">
        <v>1174</v>
      </c>
      <c r="P375" t="s">
        <v>1963</v>
      </c>
      <c r="Q375" t="s">
        <v>2067</v>
      </c>
      <c r="S375" t="s">
        <v>2063</v>
      </c>
    </row>
    <row r="376" spans="1:19">
      <c r="A376" t="s">
        <v>2068</v>
      </c>
      <c r="B376" t="s">
        <v>255</v>
      </c>
      <c r="C376" t="s">
        <v>2069</v>
      </c>
      <c r="D376" t="s">
        <v>1149</v>
      </c>
      <c r="E376" t="s">
        <v>2070</v>
      </c>
      <c r="H376" t="s">
        <v>2060</v>
      </c>
      <c r="I376" t="s">
        <v>1935</v>
      </c>
      <c r="J376" t="s">
        <v>2040</v>
      </c>
      <c r="K376" t="s">
        <v>2041</v>
      </c>
      <c r="N376" t="s">
        <v>2071</v>
      </c>
      <c r="O376" t="s">
        <v>1174</v>
      </c>
      <c r="P376" t="s">
        <v>1963</v>
      </c>
      <c r="Q376" t="s">
        <v>2072</v>
      </c>
      <c r="S376" t="s">
        <v>2044</v>
      </c>
    </row>
    <row r="377" spans="1:19">
      <c r="A377" t="s">
        <v>757</v>
      </c>
      <c r="B377" t="s">
        <v>258</v>
      </c>
      <c r="C377" t="s">
        <v>759</v>
      </c>
      <c r="D377" t="s">
        <v>1149</v>
      </c>
      <c r="E377" t="s">
        <v>758</v>
      </c>
      <c r="H377" t="s">
        <v>2060</v>
      </c>
      <c r="I377" t="s">
        <v>1935</v>
      </c>
      <c r="J377" t="s">
        <v>2040</v>
      </c>
      <c r="K377" t="s">
        <v>2041</v>
      </c>
      <c r="N377" t="s">
        <v>2073</v>
      </c>
      <c r="O377" t="s">
        <v>1174</v>
      </c>
      <c r="P377" t="s">
        <v>1963</v>
      </c>
      <c r="Q377" t="s">
        <v>2074</v>
      </c>
      <c r="S377" t="s">
        <v>2044</v>
      </c>
    </row>
    <row r="378" spans="1:19">
      <c r="A378" t="s">
        <v>2075</v>
      </c>
      <c r="B378" t="s">
        <v>278</v>
      </c>
      <c r="C378" t="s">
        <v>2076</v>
      </c>
      <c r="D378" t="s">
        <v>1149</v>
      </c>
      <c r="E378" t="s">
        <v>2077</v>
      </c>
      <c r="H378" t="s">
        <v>2078</v>
      </c>
      <c r="I378" t="s">
        <v>1935</v>
      </c>
      <c r="J378" t="s">
        <v>2079</v>
      </c>
      <c r="K378" t="s">
        <v>2080</v>
      </c>
      <c r="N378" t="s">
        <v>2081</v>
      </c>
      <c r="O378" t="s">
        <v>1174</v>
      </c>
      <c r="P378" t="s">
        <v>1985</v>
      </c>
      <c r="Q378" t="s">
        <v>2082</v>
      </c>
      <c r="S378" t="s">
        <v>1502</v>
      </c>
    </row>
    <row r="379" spans="1:19">
      <c r="A379" t="s">
        <v>821</v>
      </c>
      <c r="B379" t="s">
        <v>280</v>
      </c>
      <c r="C379" t="s">
        <v>823</v>
      </c>
      <c r="D379" t="s">
        <v>1149</v>
      </c>
      <c r="E379" t="s">
        <v>822</v>
      </c>
      <c r="H379" t="s">
        <v>2078</v>
      </c>
      <c r="I379" t="s">
        <v>1935</v>
      </c>
      <c r="J379" t="s">
        <v>2079</v>
      </c>
      <c r="K379" t="s">
        <v>2080</v>
      </c>
      <c r="N379" t="s">
        <v>2083</v>
      </c>
      <c r="O379" t="s">
        <v>1174</v>
      </c>
      <c r="P379" t="s">
        <v>1985</v>
      </c>
      <c r="Q379" t="s">
        <v>2084</v>
      </c>
      <c r="S379" t="s">
        <v>1502</v>
      </c>
    </row>
    <row r="380" spans="1:19">
      <c r="A380" t="s">
        <v>824</v>
      </c>
      <c r="B380" t="s">
        <v>258</v>
      </c>
      <c r="C380" t="s">
        <v>826</v>
      </c>
      <c r="D380" t="s">
        <v>1149</v>
      </c>
      <c r="E380" t="s">
        <v>825</v>
      </c>
      <c r="H380" t="s">
        <v>2078</v>
      </c>
      <c r="I380" t="s">
        <v>1935</v>
      </c>
      <c r="J380" t="s">
        <v>2079</v>
      </c>
      <c r="K380" t="s">
        <v>2080</v>
      </c>
      <c r="N380" t="s">
        <v>2085</v>
      </c>
      <c r="O380" t="s">
        <v>1174</v>
      </c>
      <c r="P380" t="s">
        <v>2086</v>
      </c>
      <c r="Q380" t="s">
        <v>2087</v>
      </c>
      <c r="S380" t="s">
        <v>1857</v>
      </c>
    </row>
    <row r="381" spans="1:19">
      <c r="A381" t="s">
        <v>827</v>
      </c>
      <c r="B381" t="s">
        <v>255</v>
      </c>
      <c r="C381" t="s">
        <v>829</v>
      </c>
      <c r="D381" t="s">
        <v>1149</v>
      </c>
      <c r="E381" t="s">
        <v>828</v>
      </c>
      <c r="H381" t="s">
        <v>2078</v>
      </c>
      <c r="I381" t="s">
        <v>1935</v>
      </c>
      <c r="J381" t="s">
        <v>2079</v>
      </c>
      <c r="K381" t="s">
        <v>2080</v>
      </c>
      <c r="N381" t="s">
        <v>2088</v>
      </c>
      <c r="O381" t="s">
        <v>1174</v>
      </c>
      <c r="P381" t="s">
        <v>2089</v>
      </c>
      <c r="Q381" t="s">
        <v>2090</v>
      </c>
      <c r="S381" t="s">
        <v>1901</v>
      </c>
    </row>
    <row r="382" spans="1:19">
      <c r="A382" t="s">
        <v>745</v>
      </c>
      <c r="B382" t="s">
        <v>260</v>
      </c>
      <c r="C382" t="s">
        <v>747</v>
      </c>
      <c r="D382" t="s">
        <v>1149</v>
      </c>
      <c r="E382" t="s">
        <v>746</v>
      </c>
      <c r="H382" t="s">
        <v>2078</v>
      </c>
      <c r="I382" t="s">
        <v>1935</v>
      </c>
      <c r="J382" t="s">
        <v>2079</v>
      </c>
      <c r="K382" t="s">
        <v>2080</v>
      </c>
      <c r="N382" t="s">
        <v>2091</v>
      </c>
      <c r="O382" t="s">
        <v>1174</v>
      </c>
      <c r="P382" t="s">
        <v>2089</v>
      </c>
      <c r="Q382" t="s">
        <v>2092</v>
      </c>
      <c r="S382" t="s">
        <v>1901</v>
      </c>
    </row>
    <row r="383" spans="1:19">
      <c r="A383" t="s">
        <v>736</v>
      </c>
      <c r="B383" t="s">
        <v>258</v>
      </c>
      <c r="C383" t="s">
        <v>738</v>
      </c>
      <c r="D383" t="s">
        <v>1149</v>
      </c>
      <c r="E383" t="s">
        <v>737</v>
      </c>
      <c r="H383" t="s">
        <v>2093</v>
      </c>
      <c r="I383" t="s">
        <v>1935</v>
      </c>
      <c r="J383" t="s">
        <v>2079</v>
      </c>
      <c r="K383" t="s">
        <v>2080</v>
      </c>
      <c r="N383" t="s">
        <v>2094</v>
      </c>
      <c r="O383" t="s">
        <v>1174</v>
      </c>
      <c r="P383" t="s">
        <v>2095</v>
      </c>
      <c r="Q383" t="s">
        <v>2096</v>
      </c>
      <c r="S383" t="s">
        <v>2097</v>
      </c>
    </row>
    <row r="384" spans="1:19">
      <c r="A384" t="s">
        <v>2098</v>
      </c>
      <c r="B384" t="s">
        <v>258</v>
      </c>
      <c r="C384" t="s">
        <v>2099</v>
      </c>
      <c r="D384" t="s">
        <v>1149</v>
      </c>
      <c r="E384" t="s">
        <v>2100</v>
      </c>
      <c r="H384" t="s">
        <v>2093</v>
      </c>
      <c r="I384" t="s">
        <v>1935</v>
      </c>
      <c r="J384" t="s">
        <v>2079</v>
      </c>
      <c r="K384" t="s">
        <v>2080</v>
      </c>
      <c r="N384" t="s">
        <v>2101</v>
      </c>
      <c r="O384" t="s">
        <v>1174</v>
      </c>
      <c r="P384" t="s">
        <v>2102</v>
      </c>
      <c r="Q384" t="s">
        <v>2103</v>
      </c>
      <c r="S384" t="s">
        <v>2104</v>
      </c>
    </row>
    <row r="385" spans="1:19">
      <c r="A385" t="s">
        <v>739</v>
      </c>
      <c r="B385" t="s">
        <v>255</v>
      </c>
      <c r="C385" t="s">
        <v>741</v>
      </c>
      <c r="D385" t="s">
        <v>1149</v>
      </c>
      <c r="E385" t="s">
        <v>740</v>
      </c>
      <c r="H385" t="s">
        <v>2093</v>
      </c>
      <c r="I385" t="s">
        <v>1935</v>
      </c>
      <c r="J385" t="s">
        <v>2079</v>
      </c>
      <c r="K385" t="s">
        <v>2080</v>
      </c>
      <c r="N385" t="s">
        <v>2105</v>
      </c>
      <c r="O385" t="s">
        <v>1174</v>
      </c>
      <c r="P385" t="s">
        <v>2002</v>
      </c>
      <c r="Q385" t="s">
        <v>2106</v>
      </c>
      <c r="S385" t="s">
        <v>2107</v>
      </c>
    </row>
    <row r="386" spans="1:19">
      <c r="A386" t="s">
        <v>742</v>
      </c>
      <c r="B386" t="s">
        <v>258</v>
      </c>
      <c r="C386" t="s">
        <v>744</v>
      </c>
      <c r="D386" t="s">
        <v>1149</v>
      </c>
      <c r="E386" t="s">
        <v>743</v>
      </c>
      <c r="H386" t="s">
        <v>2093</v>
      </c>
      <c r="I386" t="s">
        <v>1935</v>
      </c>
      <c r="J386" t="s">
        <v>2079</v>
      </c>
      <c r="K386" t="s">
        <v>2080</v>
      </c>
      <c r="N386" t="s">
        <v>2108</v>
      </c>
      <c r="O386" t="s">
        <v>1174</v>
      </c>
      <c r="P386" t="s">
        <v>2002</v>
      </c>
      <c r="Q386" t="s">
        <v>2109</v>
      </c>
      <c r="S386" t="s">
        <v>2107</v>
      </c>
    </row>
    <row r="387" spans="1:19">
      <c r="A387" t="s">
        <v>2110</v>
      </c>
      <c r="B387" t="s">
        <v>255</v>
      </c>
      <c r="C387" t="s">
        <v>2111</v>
      </c>
      <c r="D387" t="s">
        <v>1149</v>
      </c>
      <c r="E387" t="s">
        <v>2112</v>
      </c>
      <c r="H387" t="s">
        <v>2093</v>
      </c>
      <c r="I387" t="s">
        <v>1935</v>
      </c>
      <c r="J387" t="s">
        <v>2079</v>
      </c>
      <c r="K387" t="s">
        <v>2080</v>
      </c>
      <c r="N387" t="s">
        <v>2113</v>
      </c>
      <c r="O387" t="s">
        <v>1174</v>
      </c>
      <c r="P387" t="s">
        <v>1963</v>
      </c>
      <c r="Q387" t="s">
        <v>2114</v>
      </c>
      <c r="S387" t="s">
        <v>2115</v>
      </c>
    </row>
    <row r="388" spans="1:19">
      <c r="A388" t="s">
        <v>818</v>
      </c>
      <c r="B388" t="s">
        <v>255</v>
      </c>
      <c r="C388" t="s">
        <v>820</v>
      </c>
      <c r="D388" t="s">
        <v>1149</v>
      </c>
      <c r="E388" t="s">
        <v>819</v>
      </c>
      <c r="H388" t="s">
        <v>2116</v>
      </c>
      <c r="I388" t="s">
        <v>1935</v>
      </c>
      <c r="J388" t="s">
        <v>2117</v>
      </c>
      <c r="K388" t="s">
        <v>2118</v>
      </c>
      <c r="N388" t="s">
        <v>2119</v>
      </c>
      <c r="O388" t="s">
        <v>1174</v>
      </c>
      <c r="P388" t="s">
        <v>2120</v>
      </c>
      <c r="Q388" t="s">
        <v>2121</v>
      </c>
      <c r="S388" t="s">
        <v>2122</v>
      </c>
    </row>
    <row r="389" spans="1:19">
      <c r="A389" t="s">
        <v>724</v>
      </c>
      <c r="B389" t="s">
        <v>255</v>
      </c>
      <c r="C389" t="s">
        <v>726</v>
      </c>
      <c r="D389" t="s">
        <v>1149</v>
      </c>
      <c r="E389" t="s">
        <v>725</v>
      </c>
      <c r="H389" t="s">
        <v>2116</v>
      </c>
      <c r="I389" t="s">
        <v>1935</v>
      </c>
      <c r="J389" t="s">
        <v>2117</v>
      </c>
      <c r="K389" t="s">
        <v>2118</v>
      </c>
      <c r="N389" t="s">
        <v>2123</v>
      </c>
      <c r="O389" t="s">
        <v>1174</v>
      </c>
      <c r="P389" t="s">
        <v>1963</v>
      </c>
      <c r="Q389" t="s">
        <v>2124</v>
      </c>
      <c r="S389" t="s">
        <v>2125</v>
      </c>
    </row>
    <row r="390" spans="1:19">
      <c r="A390" t="s">
        <v>727</v>
      </c>
      <c r="B390" t="s">
        <v>255</v>
      </c>
      <c r="C390" t="s">
        <v>729</v>
      </c>
      <c r="D390" t="s">
        <v>1149</v>
      </c>
      <c r="E390" t="s">
        <v>728</v>
      </c>
      <c r="H390" t="s">
        <v>2116</v>
      </c>
      <c r="I390" t="s">
        <v>1935</v>
      </c>
      <c r="J390" t="s">
        <v>2117</v>
      </c>
      <c r="K390" t="s">
        <v>2118</v>
      </c>
      <c r="N390" t="s">
        <v>2126</v>
      </c>
      <c r="O390" t="s">
        <v>1174</v>
      </c>
      <c r="P390" t="s">
        <v>2127</v>
      </c>
      <c r="Q390" t="s">
        <v>2128</v>
      </c>
      <c r="S390" t="s">
        <v>2129</v>
      </c>
    </row>
    <row r="391" spans="1:19">
      <c r="A391" t="s">
        <v>730</v>
      </c>
      <c r="B391" t="s">
        <v>255</v>
      </c>
      <c r="C391" t="s">
        <v>732</v>
      </c>
      <c r="D391" t="s">
        <v>1149</v>
      </c>
      <c r="E391" t="s">
        <v>731</v>
      </c>
      <c r="H391" t="s">
        <v>2116</v>
      </c>
      <c r="I391" t="s">
        <v>1935</v>
      </c>
      <c r="J391" t="s">
        <v>2117</v>
      </c>
      <c r="K391" t="s">
        <v>2118</v>
      </c>
      <c r="N391" t="s">
        <v>2130</v>
      </c>
      <c r="O391" t="s">
        <v>1174</v>
      </c>
      <c r="P391" t="s">
        <v>2131</v>
      </c>
      <c r="Q391" t="s">
        <v>2132</v>
      </c>
      <c r="S391" t="s">
        <v>2133</v>
      </c>
    </row>
    <row r="392" spans="1:19">
      <c r="A392" t="s">
        <v>733</v>
      </c>
      <c r="B392" t="s">
        <v>255</v>
      </c>
      <c r="C392" t="s">
        <v>735</v>
      </c>
      <c r="D392" t="s">
        <v>1149</v>
      </c>
      <c r="E392" t="s">
        <v>734</v>
      </c>
      <c r="H392" t="s">
        <v>2116</v>
      </c>
      <c r="I392" t="s">
        <v>1935</v>
      </c>
      <c r="J392" t="s">
        <v>2117</v>
      </c>
      <c r="K392" t="s">
        <v>2118</v>
      </c>
      <c r="N392" t="s">
        <v>2134</v>
      </c>
      <c r="O392" t="s">
        <v>1174</v>
      </c>
      <c r="P392" t="s">
        <v>2135</v>
      </c>
      <c r="Q392" t="s">
        <v>2136</v>
      </c>
      <c r="S392" t="s">
        <v>2097</v>
      </c>
    </row>
    <row r="393" spans="1:19">
      <c r="A393" t="s">
        <v>806</v>
      </c>
      <c r="B393" t="s">
        <v>277</v>
      </c>
      <c r="C393" t="s">
        <v>808</v>
      </c>
      <c r="D393" t="s">
        <v>1149</v>
      </c>
      <c r="E393" t="s">
        <v>807</v>
      </c>
      <c r="H393" t="s">
        <v>2137</v>
      </c>
      <c r="I393" t="s">
        <v>1935</v>
      </c>
      <c r="J393" t="s">
        <v>2117</v>
      </c>
      <c r="K393" t="s">
        <v>2118</v>
      </c>
      <c r="N393" t="s">
        <v>2138</v>
      </c>
      <c r="O393" t="s">
        <v>1174</v>
      </c>
      <c r="P393" t="s">
        <v>2139</v>
      </c>
      <c r="Q393" t="s">
        <v>2140</v>
      </c>
      <c r="S393" t="s">
        <v>2141</v>
      </c>
    </row>
    <row r="394" spans="1:19">
      <c r="A394" t="s">
        <v>809</v>
      </c>
      <c r="B394" t="s">
        <v>263</v>
      </c>
      <c r="C394" t="s">
        <v>811</v>
      </c>
      <c r="D394" t="s">
        <v>1149</v>
      </c>
      <c r="E394" t="s">
        <v>810</v>
      </c>
      <c r="H394" t="s">
        <v>2137</v>
      </c>
      <c r="I394" t="s">
        <v>1935</v>
      </c>
      <c r="J394" t="s">
        <v>2117</v>
      </c>
      <c r="K394" t="s">
        <v>2118</v>
      </c>
      <c r="N394" t="s">
        <v>2142</v>
      </c>
      <c r="O394" t="s">
        <v>1174</v>
      </c>
      <c r="P394" t="s">
        <v>1963</v>
      </c>
      <c r="Q394" t="s">
        <v>2143</v>
      </c>
      <c r="S394" t="s">
        <v>2144</v>
      </c>
    </row>
    <row r="395" spans="1:19">
      <c r="A395" t="s">
        <v>812</v>
      </c>
      <c r="B395" t="s">
        <v>258</v>
      </c>
      <c r="C395" t="s">
        <v>814</v>
      </c>
      <c r="D395" t="s">
        <v>1149</v>
      </c>
      <c r="E395" t="s">
        <v>813</v>
      </c>
      <c r="H395" t="s">
        <v>2137</v>
      </c>
      <c r="I395" t="s">
        <v>1935</v>
      </c>
      <c r="J395" t="s">
        <v>2117</v>
      </c>
      <c r="K395" t="s">
        <v>2118</v>
      </c>
      <c r="N395" t="s">
        <v>2145</v>
      </c>
      <c r="O395" t="s">
        <v>1174</v>
      </c>
      <c r="P395" t="s">
        <v>1963</v>
      </c>
      <c r="Q395" t="s">
        <v>2146</v>
      </c>
      <c r="S395" t="s">
        <v>1591</v>
      </c>
    </row>
    <row r="396" spans="1:19">
      <c r="A396" t="s">
        <v>815</v>
      </c>
      <c r="B396" t="s">
        <v>258</v>
      </c>
      <c r="C396" t="s">
        <v>817</v>
      </c>
      <c r="D396" t="s">
        <v>1149</v>
      </c>
      <c r="E396" t="s">
        <v>816</v>
      </c>
      <c r="H396" t="s">
        <v>2137</v>
      </c>
      <c r="I396" t="s">
        <v>1935</v>
      </c>
      <c r="J396" t="s">
        <v>2117</v>
      </c>
      <c r="K396" t="s">
        <v>2118</v>
      </c>
      <c r="N396" t="s">
        <v>2147</v>
      </c>
      <c r="O396" t="s">
        <v>1174</v>
      </c>
      <c r="P396" t="s">
        <v>1963</v>
      </c>
      <c r="Q396" t="s">
        <v>2148</v>
      </c>
      <c r="S396" t="s">
        <v>2149</v>
      </c>
    </row>
    <row r="397" spans="1:19">
      <c r="A397" t="s">
        <v>2150</v>
      </c>
      <c r="B397" t="s">
        <v>255</v>
      </c>
      <c r="C397" t="s">
        <v>2151</v>
      </c>
      <c r="D397" t="s">
        <v>1149</v>
      </c>
      <c r="E397" t="s">
        <v>2152</v>
      </c>
      <c r="H397" t="s">
        <v>2137</v>
      </c>
      <c r="I397" t="s">
        <v>1935</v>
      </c>
      <c r="J397" t="s">
        <v>2117</v>
      </c>
      <c r="K397" t="s">
        <v>2118</v>
      </c>
      <c r="N397" t="s">
        <v>2153</v>
      </c>
      <c r="O397" t="s">
        <v>1174</v>
      </c>
      <c r="P397" t="s">
        <v>2154</v>
      </c>
      <c r="Q397" t="s">
        <v>2155</v>
      </c>
      <c r="S397" t="s">
        <v>2149</v>
      </c>
    </row>
    <row r="398" spans="1:19">
      <c r="A398" t="s">
        <v>2156</v>
      </c>
      <c r="B398" t="s">
        <v>258</v>
      </c>
      <c r="C398" t="s">
        <v>2157</v>
      </c>
      <c r="D398" t="s">
        <v>1149</v>
      </c>
      <c r="E398" t="s">
        <v>2158</v>
      </c>
      <c r="H398" t="s">
        <v>2159</v>
      </c>
      <c r="I398" t="s">
        <v>1935</v>
      </c>
      <c r="J398" t="s">
        <v>2160</v>
      </c>
      <c r="K398" t="s">
        <v>2161</v>
      </c>
      <c r="N398" t="s">
        <v>2162</v>
      </c>
      <c r="O398" t="s">
        <v>1174</v>
      </c>
      <c r="P398" t="s">
        <v>2163</v>
      </c>
      <c r="Q398" t="s">
        <v>2164</v>
      </c>
      <c r="S398" t="s">
        <v>2165</v>
      </c>
    </row>
    <row r="399" spans="1:19">
      <c r="A399" t="s">
        <v>1014</v>
      </c>
      <c r="B399" t="s">
        <v>258</v>
      </c>
      <c r="C399" t="s">
        <v>1016</v>
      </c>
      <c r="D399" t="s">
        <v>1149</v>
      </c>
      <c r="E399" t="s">
        <v>1015</v>
      </c>
      <c r="H399" t="s">
        <v>2159</v>
      </c>
      <c r="I399" t="s">
        <v>1935</v>
      </c>
      <c r="J399" t="s">
        <v>2160</v>
      </c>
      <c r="K399" t="s">
        <v>2161</v>
      </c>
      <c r="N399" t="s">
        <v>2166</v>
      </c>
      <c r="O399" t="s">
        <v>1174</v>
      </c>
      <c r="P399" t="s">
        <v>2167</v>
      </c>
      <c r="Q399" t="s">
        <v>2168</v>
      </c>
      <c r="S399" t="s">
        <v>1534</v>
      </c>
    </row>
    <row r="400" spans="1:19">
      <c r="A400" t="s">
        <v>2169</v>
      </c>
      <c r="B400" t="s">
        <v>296</v>
      </c>
      <c r="C400" t="s">
        <v>2170</v>
      </c>
      <c r="D400" t="s">
        <v>1149</v>
      </c>
      <c r="E400" t="s">
        <v>2171</v>
      </c>
      <c r="H400" t="s">
        <v>2159</v>
      </c>
      <c r="I400" t="s">
        <v>1935</v>
      </c>
      <c r="J400" t="s">
        <v>2160</v>
      </c>
      <c r="K400" t="s">
        <v>2161</v>
      </c>
      <c r="N400" t="s">
        <v>2172</v>
      </c>
      <c r="O400" t="s">
        <v>1174</v>
      </c>
      <c r="P400" t="s">
        <v>2139</v>
      </c>
      <c r="Q400" t="s">
        <v>2173</v>
      </c>
      <c r="S400" t="s">
        <v>2141</v>
      </c>
    </row>
    <row r="401" spans="1:19">
      <c r="A401" t="s">
        <v>2174</v>
      </c>
      <c r="B401" t="s">
        <v>274</v>
      </c>
      <c r="C401" t="s">
        <v>2175</v>
      </c>
      <c r="D401" t="s">
        <v>1149</v>
      </c>
      <c r="E401" t="s">
        <v>2176</v>
      </c>
      <c r="H401" t="s">
        <v>2159</v>
      </c>
      <c r="I401" t="s">
        <v>1935</v>
      </c>
      <c r="J401" t="s">
        <v>2160</v>
      </c>
      <c r="K401" t="s">
        <v>2161</v>
      </c>
      <c r="N401" t="s">
        <v>2177</v>
      </c>
      <c r="O401" t="s">
        <v>1174</v>
      </c>
      <c r="P401" t="s">
        <v>2139</v>
      </c>
      <c r="Q401" t="s">
        <v>2178</v>
      </c>
      <c r="S401" t="s">
        <v>2141</v>
      </c>
    </row>
    <row r="402" spans="1:19">
      <c r="A402" t="s">
        <v>2179</v>
      </c>
      <c r="B402" t="s">
        <v>289</v>
      </c>
      <c r="C402" t="s">
        <v>2180</v>
      </c>
      <c r="D402" t="s">
        <v>1149</v>
      </c>
      <c r="E402" t="s">
        <v>2181</v>
      </c>
      <c r="H402" t="s">
        <v>2159</v>
      </c>
      <c r="I402" t="s">
        <v>1935</v>
      </c>
      <c r="J402" t="s">
        <v>2160</v>
      </c>
      <c r="K402" t="s">
        <v>2161</v>
      </c>
      <c r="N402" t="s">
        <v>2182</v>
      </c>
      <c r="O402" t="s">
        <v>1174</v>
      </c>
      <c r="P402" t="s">
        <v>2139</v>
      </c>
      <c r="Q402" t="s">
        <v>2183</v>
      </c>
      <c r="S402" t="s">
        <v>2141</v>
      </c>
    </row>
    <row r="403" spans="1:19">
      <c r="A403" t="s">
        <v>1046</v>
      </c>
      <c r="B403" t="s">
        <v>294</v>
      </c>
      <c r="C403" t="s">
        <v>1048</v>
      </c>
      <c r="D403" t="s">
        <v>1149</v>
      </c>
      <c r="E403" t="s">
        <v>1047</v>
      </c>
      <c r="H403" t="s">
        <v>2184</v>
      </c>
      <c r="I403" t="s">
        <v>1935</v>
      </c>
      <c r="J403" t="s">
        <v>2160</v>
      </c>
      <c r="K403" t="s">
        <v>2161</v>
      </c>
      <c r="N403" t="s">
        <v>2185</v>
      </c>
      <c r="O403" t="s">
        <v>1174</v>
      </c>
      <c r="P403" t="s">
        <v>2186</v>
      </c>
      <c r="Q403" t="s">
        <v>2187</v>
      </c>
      <c r="S403" t="s">
        <v>1412</v>
      </c>
    </row>
    <row r="404" spans="1:19">
      <c r="A404" t="s">
        <v>1049</v>
      </c>
      <c r="B404" t="s">
        <v>268</v>
      </c>
      <c r="C404" t="s">
        <v>1051</v>
      </c>
      <c r="D404" t="s">
        <v>1149</v>
      </c>
      <c r="E404" t="s">
        <v>1050</v>
      </c>
      <c r="H404" t="s">
        <v>2184</v>
      </c>
      <c r="I404" t="s">
        <v>1935</v>
      </c>
      <c r="J404" t="s">
        <v>2160</v>
      </c>
      <c r="K404" t="s">
        <v>2161</v>
      </c>
      <c r="N404" t="s">
        <v>2188</v>
      </c>
      <c r="O404" t="s">
        <v>1174</v>
      </c>
      <c r="P404" t="s">
        <v>2189</v>
      </c>
      <c r="Q404" t="s">
        <v>2190</v>
      </c>
      <c r="S404" t="s">
        <v>2191</v>
      </c>
    </row>
    <row r="405" spans="1:19">
      <c r="A405" t="s">
        <v>1052</v>
      </c>
      <c r="B405" t="s">
        <v>278</v>
      </c>
      <c r="C405" t="s">
        <v>1054</v>
      </c>
      <c r="D405" t="s">
        <v>1130</v>
      </c>
      <c r="E405" t="s">
        <v>1053</v>
      </c>
      <c r="H405" t="s">
        <v>2184</v>
      </c>
      <c r="I405" t="s">
        <v>1935</v>
      </c>
      <c r="J405" t="s">
        <v>2160</v>
      </c>
      <c r="K405" t="s">
        <v>2161</v>
      </c>
      <c r="N405" t="s">
        <v>2192</v>
      </c>
      <c r="O405" t="s">
        <v>1174</v>
      </c>
      <c r="P405" t="s">
        <v>2189</v>
      </c>
      <c r="Q405" t="s">
        <v>2193</v>
      </c>
      <c r="S405" t="s">
        <v>1350</v>
      </c>
    </row>
    <row r="406" spans="1:19">
      <c r="A406" t="s">
        <v>1055</v>
      </c>
      <c r="B406" t="s">
        <v>260</v>
      </c>
      <c r="C406" t="s">
        <v>1057</v>
      </c>
      <c r="D406" t="s">
        <v>1149</v>
      </c>
      <c r="E406" t="s">
        <v>1056</v>
      </c>
      <c r="H406" t="s">
        <v>2184</v>
      </c>
      <c r="I406" t="s">
        <v>1935</v>
      </c>
      <c r="J406" t="s">
        <v>2160</v>
      </c>
      <c r="K406" t="s">
        <v>2161</v>
      </c>
      <c r="N406" t="s">
        <v>2194</v>
      </c>
      <c r="O406" t="s">
        <v>1174</v>
      </c>
      <c r="P406" t="s">
        <v>2189</v>
      </c>
      <c r="Q406" t="s">
        <v>2195</v>
      </c>
      <c r="S406" t="s">
        <v>1523</v>
      </c>
    </row>
    <row r="407" spans="1:19">
      <c r="A407" t="s">
        <v>1058</v>
      </c>
      <c r="B407" t="s">
        <v>260</v>
      </c>
      <c r="C407" t="s">
        <v>1060</v>
      </c>
      <c r="D407" t="s">
        <v>1149</v>
      </c>
      <c r="E407" t="s">
        <v>1059</v>
      </c>
      <c r="H407" t="s">
        <v>2184</v>
      </c>
      <c r="I407" t="s">
        <v>1935</v>
      </c>
      <c r="J407" t="s">
        <v>2160</v>
      </c>
      <c r="K407" t="s">
        <v>2161</v>
      </c>
      <c r="N407" t="s">
        <v>2196</v>
      </c>
      <c r="O407" t="s">
        <v>1174</v>
      </c>
      <c r="P407" t="s">
        <v>2197</v>
      </c>
      <c r="Q407" t="s">
        <v>2198</v>
      </c>
      <c r="S407" t="s">
        <v>1709</v>
      </c>
    </row>
    <row r="408" spans="1:19">
      <c r="A408" t="s">
        <v>1061</v>
      </c>
      <c r="B408" t="s">
        <v>255</v>
      </c>
      <c r="C408" t="s">
        <v>1063</v>
      </c>
      <c r="D408" t="s">
        <v>1149</v>
      </c>
      <c r="E408" t="s">
        <v>1062</v>
      </c>
      <c r="H408" t="s">
        <v>2199</v>
      </c>
      <c r="I408" t="s">
        <v>1935</v>
      </c>
      <c r="J408" t="s">
        <v>2160</v>
      </c>
      <c r="K408" t="s">
        <v>2161</v>
      </c>
      <c r="N408" t="s">
        <v>2200</v>
      </c>
      <c r="O408" t="s">
        <v>1174</v>
      </c>
      <c r="P408" t="s">
        <v>2201</v>
      </c>
      <c r="Q408" t="s">
        <v>2202</v>
      </c>
      <c r="S408" t="s">
        <v>2203</v>
      </c>
    </row>
    <row r="409" spans="1:19">
      <c r="A409" t="s">
        <v>2204</v>
      </c>
      <c r="B409" t="s">
        <v>1486</v>
      </c>
      <c r="C409" t="s">
        <v>2205</v>
      </c>
      <c r="D409" t="s">
        <v>1149</v>
      </c>
      <c r="E409" t="s">
        <v>2206</v>
      </c>
      <c r="H409" t="s">
        <v>2199</v>
      </c>
      <c r="I409" t="s">
        <v>1935</v>
      </c>
      <c r="J409" t="s">
        <v>2160</v>
      </c>
      <c r="K409" t="s">
        <v>2161</v>
      </c>
      <c r="N409" t="s">
        <v>2207</v>
      </c>
      <c r="O409" t="s">
        <v>1174</v>
      </c>
      <c r="P409" t="s">
        <v>2189</v>
      </c>
      <c r="Q409" t="s">
        <v>2208</v>
      </c>
      <c r="S409" t="s">
        <v>1376</v>
      </c>
    </row>
    <row r="410" spans="1:19">
      <c r="A410" t="s">
        <v>1064</v>
      </c>
      <c r="B410" t="s">
        <v>255</v>
      </c>
      <c r="C410" t="s">
        <v>1066</v>
      </c>
      <c r="D410" t="s">
        <v>1149</v>
      </c>
      <c r="E410" t="s">
        <v>1065</v>
      </c>
      <c r="H410" t="s">
        <v>2199</v>
      </c>
      <c r="I410" t="s">
        <v>1935</v>
      </c>
      <c r="J410" t="s">
        <v>2160</v>
      </c>
      <c r="K410" t="s">
        <v>2161</v>
      </c>
      <c r="N410" t="s">
        <v>2209</v>
      </c>
      <c r="O410" t="s">
        <v>1174</v>
      </c>
      <c r="P410" t="s">
        <v>2189</v>
      </c>
      <c r="Q410" t="s">
        <v>2210</v>
      </c>
      <c r="S410" t="s">
        <v>1450</v>
      </c>
    </row>
    <row r="411" spans="1:19">
      <c r="A411" t="s">
        <v>2211</v>
      </c>
      <c r="B411" t="s">
        <v>280</v>
      </c>
      <c r="C411" t="s">
        <v>2212</v>
      </c>
      <c r="D411" t="s">
        <v>1149</v>
      </c>
      <c r="E411" t="s">
        <v>2213</v>
      </c>
      <c r="H411" t="s">
        <v>2199</v>
      </c>
      <c r="I411" t="s">
        <v>1935</v>
      </c>
      <c r="J411" t="s">
        <v>2160</v>
      </c>
      <c r="K411" t="s">
        <v>2161</v>
      </c>
      <c r="N411" t="s">
        <v>2214</v>
      </c>
      <c r="O411" t="s">
        <v>1174</v>
      </c>
      <c r="P411" t="s">
        <v>2215</v>
      </c>
      <c r="Q411" t="s">
        <v>2216</v>
      </c>
      <c r="S411" t="s">
        <v>1427</v>
      </c>
    </row>
    <row r="412" spans="1:19">
      <c r="A412" t="s">
        <v>2217</v>
      </c>
      <c r="B412" t="s">
        <v>255</v>
      </c>
      <c r="C412" t="s">
        <v>2218</v>
      </c>
      <c r="D412" t="s">
        <v>1149</v>
      </c>
      <c r="E412" t="s">
        <v>2219</v>
      </c>
      <c r="H412" t="s">
        <v>2199</v>
      </c>
      <c r="I412" t="s">
        <v>1935</v>
      </c>
      <c r="J412" t="s">
        <v>2160</v>
      </c>
      <c r="K412" t="s">
        <v>2161</v>
      </c>
      <c r="N412" t="s">
        <v>2220</v>
      </c>
      <c r="O412" t="s">
        <v>1174</v>
      </c>
      <c r="P412" t="s">
        <v>2221</v>
      </c>
      <c r="Q412" t="s">
        <v>2222</v>
      </c>
      <c r="S412" t="s">
        <v>2165</v>
      </c>
    </row>
    <row r="413" spans="1:19">
      <c r="A413" t="s">
        <v>878</v>
      </c>
      <c r="B413" t="s">
        <v>294</v>
      </c>
      <c r="C413" t="s">
        <v>880</v>
      </c>
      <c r="D413" t="s">
        <v>1149</v>
      </c>
      <c r="E413" t="s">
        <v>879</v>
      </c>
      <c r="H413" t="s">
        <v>2223</v>
      </c>
      <c r="I413" t="s">
        <v>2224</v>
      </c>
      <c r="J413" t="s">
        <v>2225</v>
      </c>
      <c r="K413" t="s">
        <v>2226</v>
      </c>
      <c r="N413" t="s">
        <v>2227</v>
      </c>
      <c r="O413" t="s">
        <v>1174</v>
      </c>
      <c r="P413" t="s">
        <v>2228</v>
      </c>
      <c r="Q413" t="s">
        <v>2229</v>
      </c>
      <c r="S413" t="s">
        <v>1737</v>
      </c>
    </row>
    <row r="414" spans="1:19">
      <c r="A414" t="s">
        <v>2230</v>
      </c>
      <c r="B414" t="s">
        <v>283</v>
      </c>
      <c r="C414" t="s">
        <v>2231</v>
      </c>
      <c r="D414" t="s">
        <v>1149</v>
      </c>
      <c r="E414" t="s">
        <v>2232</v>
      </c>
      <c r="H414" t="s">
        <v>2223</v>
      </c>
      <c r="I414" t="s">
        <v>2224</v>
      </c>
      <c r="J414" t="s">
        <v>2225</v>
      </c>
      <c r="K414" t="s">
        <v>2226</v>
      </c>
      <c r="N414" t="s">
        <v>2233</v>
      </c>
      <c r="O414" t="s">
        <v>1174</v>
      </c>
      <c r="P414" t="s">
        <v>2234</v>
      </c>
      <c r="Q414" t="s">
        <v>2235</v>
      </c>
      <c r="S414" t="s">
        <v>2236</v>
      </c>
    </row>
    <row r="415" spans="1:19">
      <c r="A415" t="s">
        <v>881</v>
      </c>
      <c r="B415" t="s">
        <v>1495</v>
      </c>
      <c r="C415" t="s">
        <v>883</v>
      </c>
      <c r="D415" t="s">
        <v>1149</v>
      </c>
      <c r="E415" t="s">
        <v>882</v>
      </c>
      <c r="H415" t="s">
        <v>2223</v>
      </c>
      <c r="I415" t="s">
        <v>2224</v>
      </c>
      <c r="J415" t="s">
        <v>2225</v>
      </c>
      <c r="K415" t="s">
        <v>2226</v>
      </c>
      <c r="N415" t="s">
        <v>2237</v>
      </c>
      <c r="O415" t="s">
        <v>1174</v>
      </c>
      <c r="P415" t="s">
        <v>2238</v>
      </c>
      <c r="Q415" t="s">
        <v>2239</v>
      </c>
      <c r="S415" t="s">
        <v>2236</v>
      </c>
    </row>
    <row r="416" spans="1:19">
      <c r="A416" t="s">
        <v>2240</v>
      </c>
      <c r="B416" t="s">
        <v>286</v>
      </c>
      <c r="C416" t="s">
        <v>2241</v>
      </c>
      <c r="D416" t="s">
        <v>1149</v>
      </c>
      <c r="E416" t="s">
        <v>2242</v>
      </c>
      <c r="H416" t="s">
        <v>2223</v>
      </c>
      <c r="I416" t="s">
        <v>2224</v>
      </c>
      <c r="J416" t="s">
        <v>2225</v>
      </c>
      <c r="K416" t="s">
        <v>2226</v>
      </c>
      <c r="N416" t="s">
        <v>2243</v>
      </c>
      <c r="O416" t="s">
        <v>1174</v>
      </c>
      <c r="P416" t="s">
        <v>2244</v>
      </c>
      <c r="Q416" t="s">
        <v>2245</v>
      </c>
      <c r="S416" t="s">
        <v>2236</v>
      </c>
    </row>
    <row r="417" spans="1:19">
      <c r="A417" t="s">
        <v>884</v>
      </c>
      <c r="B417" t="s">
        <v>294</v>
      </c>
      <c r="C417" t="s">
        <v>886</v>
      </c>
      <c r="D417" t="s">
        <v>1149</v>
      </c>
      <c r="E417" t="s">
        <v>885</v>
      </c>
      <c r="H417" t="s">
        <v>2223</v>
      </c>
      <c r="I417" t="s">
        <v>2224</v>
      </c>
      <c r="J417" t="s">
        <v>2225</v>
      </c>
      <c r="K417" t="s">
        <v>2226</v>
      </c>
      <c r="N417" t="s">
        <v>2246</v>
      </c>
      <c r="O417" t="s">
        <v>1174</v>
      </c>
      <c r="P417" t="s">
        <v>2247</v>
      </c>
      <c r="Q417" t="s">
        <v>2248</v>
      </c>
      <c r="S417" t="s">
        <v>1469</v>
      </c>
    </row>
    <row r="418" spans="1:19">
      <c r="A418" t="s">
        <v>887</v>
      </c>
      <c r="B418" t="s">
        <v>271</v>
      </c>
      <c r="C418" t="s">
        <v>889</v>
      </c>
      <c r="D418" t="s">
        <v>1149</v>
      </c>
      <c r="E418" t="s">
        <v>888</v>
      </c>
      <c r="H418" t="s">
        <v>2223</v>
      </c>
      <c r="I418" t="s">
        <v>2224</v>
      </c>
      <c r="J418" t="s">
        <v>2225</v>
      </c>
      <c r="K418" t="s">
        <v>2226</v>
      </c>
      <c r="N418" t="s">
        <v>2249</v>
      </c>
      <c r="O418" t="s">
        <v>1174</v>
      </c>
      <c r="P418" t="s">
        <v>2250</v>
      </c>
      <c r="Q418" t="s">
        <v>2251</v>
      </c>
      <c r="S418" t="s">
        <v>1469</v>
      </c>
    </row>
    <row r="419" spans="1:19">
      <c r="A419" t="s">
        <v>890</v>
      </c>
      <c r="B419" t="s">
        <v>274</v>
      </c>
      <c r="C419" t="s">
        <v>892</v>
      </c>
      <c r="D419" t="s">
        <v>1149</v>
      </c>
      <c r="E419" t="s">
        <v>891</v>
      </c>
      <c r="H419" t="s">
        <v>2223</v>
      </c>
      <c r="I419" t="s">
        <v>2224</v>
      </c>
      <c r="J419" t="s">
        <v>2225</v>
      </c>
      <c r="K419" t="s">
        <v>2226</v>
      </c>
      <c r="N419" t="s">
        <v>2252</v>
      </c>
      <c r="O419" t="s">
        <v>1174</v>
      </c>
      <c r="P419" t="s">
        <v>2253</v>
      </c>
      <c r="Q419" t="s">
        <v>2254</v>
      </c>
      <c r="S419" t="s">
        <v>1469</v>
      </c>
    </row>
    <row r="420" spans="1:19">
      <c r="A420" t="s">
        <v>893</v>
      </c>
      <c r="B420" t="s">
        <v>266</v>
      </c>
      <c r="C420" t="s">
        <v>895</v>
      </c>
      <c r="D420" t="s">
        <v>1149</v>
      </c>
      <c r="E420" t="s">
        <v>894</v>
      </c>
      <c r="H420" t="s">
        <v>2223</v>
      </c>
      <c r="I420" t="s">
        <v>2224</v>
      </c>
      <c r="J420" t="s">
        <v>2225</v>
      </c>
      <c r="K420" t="s">
        <v>2226</v>
      </c>
      <c r="N420" t="s">
        <v>2255</v>
      </c>
      <c r="O420" t="s">
        <v>1174</v>
      </c>
      <c r="P420" t="s">
        <v>2256</v>
      </c>
      <c r="Q420" t="s">
        <v>2257</v>
      </c>
      <c r="S420" t="s">
        <v>1346</v>
      </c>
    </row>
    <row r="421" spans="1:19">
      <c r="A421" t="s">
        <v>896</v>
      </c>
      <c r="B421" t="s">
        <v>294</v>
      </c>
      <c r="C421" t="s">
        <v>898</v>
      </c>
      <c r="D421" t="s">
        <v>1149</v>
      </c>
      <c r="E421" t="s">
        <v>897</v>
      </c>
      <c r="H421" t="s">
        <v>2258</v>
      </c>
      <c r="I421" t="s">
        <v>2224</v>
      </c>
      <c r="J421" t="s">
        <v>2225</v>
      </c>
      <c r="K421" t="s">
        <v>2226</v>
      </c>
      <c r="N421" t="s">
        <v>2259</v>
      </c>
      <c r="O421" t="s">
        <v>1174</v>
      </c>
      <c r="P421" t="s">
        <v>2260</v>
      </c>
      <c r="Q421" t="s">
        <v>2261</v>
      </c>
      <c r="S421" t="s">
        <v>1346</v>
      </c>
    </row>
    <row r="422" spans="1:19">
      <c r="A422" t="s">
        <v>899</v>
      </c>
      <c r="B422" t="s">
        <v>255</v>
      </c>
      <c r="C422" t="s">
        <v>901</v>
      </c>
      <c r="D422" t="s">
        <v>1149</v>
      </c>
      <c r="E422" t="s">
        <v>900</v>
      </c>
      <c r="H422" t="s">
        <v>2258</v>
      </c>
      <c r="I422" t="s">
        <v>2224</v>
      </c>
      <c r="J422" t="s">
        <v>2225</v>
      </c>
      <c r="K422" t="s">
        <v>2226</v>
      </c>
      <c r="N422" t="s">
        <v>2262</v>
      </c>
      <c r="O422" t="s">
        <v>1174</v>
      </c>
      <c r="P422" t="s">
        <v>2263</v>
      </c>
      <c r="Q422" t="s">
        <v>2264</v>
      </c>
      <c r="S422" t="s">
        <v>2144</v>
      </c>
    </row>
    <row r="423" spans="1:19">
      <c r="A423" t="s">
        <v>2265</v>
      </c>
      <c r="B423" t="s">
        <v>258</v>
      </c>
      <c r="C423" t="s">
        <v>2266</v>
      </c>
      <c r="D423" t="s">
        <v>1149</v>
      </c>
      <c r="E423" t="s">
        <v>2267</v>
      </c>
      <c r="H423" t="s">
        <v>2258</v>
      </c>
      <c r="I423" t="s">
        <v>2224</v>
      </c>
      <c r="J423" t="s">
        <v>2225</v>
      </c>
      <c r="K423" t="s">
        <v>2226</v>
      </c>
      <c r="N423" t="s">
        <v>2268</v>
      </c>
      <c r="O423" t="s">
        <v>1174</v>
      </c>
      <c r="P423" t="s">
        <v>2269</v>
      </c>
      <c r="Q423" t="s">
        <v>2270</v>
      </c>
      <c r="S423" t="s">
        <v>2144</v>
      </c>
    </row>
    <row r="424" spans="1:19">
      <c r="A424" t="s">
        <v>2271</v>
      </c>
      <c r="B424" t="s">
        <v>260</v>
      </c>
      <c r="C424" t="s">
        <v>2272</v>
      </c>
      <c r="D424" t="s">
        <v>1149</v>
      </c>
      <c r="E424" t="s">
        <v>2273</v>
      </c>
      <c r="H424" t="s">
        <v>2258</v>
      </c>
      <c r="I424" t="s">
        <v>2224</v>
      </c>
      <c r="J424" t="s">
        <v>2225</v>
      </c>
      <c r="K424" t="s">
        <v>2226</v>
      </c>
      <c r="N424" t="s">
        <v>2274</v>
      </c>
      <c r="O424" t="s">
        <v>1174</v>
      </c>
      <c r="P424" t="s">
        <v>2275</v>
      </c>
      <c r="Q424" t="s">
        <v>2276</v>
      </c>
      <c r="S424" t="s">
        <v>1538</v>
      </c>
    </row>
    <row r="425" spans="1:19">
      <c r="A425" t="s">
        <v>902</v>
      </c>
      <c r="B425" t="s">
        <v>266</v>
      </c>
      <c r="C425" t="s">
        <v>904</v>
      </c>
      <c r="D425" t="s">
        <v>1149</v>
      </c>
      <c r="E425" t="s">
        <v>903</v>
      </c>
      <c r="H425" t="s">
        <v>2258</v>
      </c>
      <c r="I425" t="s">
        <v>2224</v>
      </c>
      <c r="J425" t="s">
        <v>2225</v>
      </c>
      <c r="K425" t="s">
        <v>2226</v>
      </c>
      <c r="N425" t="s">
        <v>2277</v>
      </c>
      <c r="O425" t="s">
        <v>1174</v>
      </c>
      <c r="P425" t="s">
        <v>2275</v>
      </c>
      <c r="Q425" t="s">
        <v>2278</v>
      </c>
      <c r="S425" t="s">
        <v>1538</v>
      </c>
    </row>
    <row r="426" spans="1:19">
      <c r="A426" t="s">
        <v>905</v>
      </c>
      <c r="B426" t="s">
        <v>294</v>
      </c>
      <c r="C426" t="s">
        <v>907</v>
      </c>
      <c r="D426" t="s">
        <v>1149</v>
      </c>
      <c r="E426" t="s">
        <v>906</v>
      </c>
      <c r="H426" t="s">
        <v>2258</v>
      </c>
      <c r="I426" t="s">
        <v>2224</v>
      </c>
      <c r="J426" t="s">
        <v>2225</v>
      </c>
      <c r="K426" t="s">
        <v>2226</v>
      </c>
      <c r="N426" t="s">
        <v>2279</v>
      </c>
      <c r="O426" t="s">
        <v>1174</v>
      </c>
      <c r="P426" t="s">
        <v>2275</v>
      </c>
      <c r="Q426" t="s">
        <v>2280</v>
      </c>
      <c r="S426" t="s">
        <v>1538</v>
      </c>
    </row>
    <row r="427" spans="1:19">
      <c r="A427" t="s">
        <v>908</v>
      </c>
      <c r="B427" t="s">
        <v>263</v>
      </c>
      <c r="C427" t="s">
        <v>910</v>
      </c>
      <c r="D427" t="s">
        <v>1149</v>
      </c>
      <c r="E427" t="s">
        <v>909</v>
      </c>
      <c r="H427" t="s">
        <v>2258</v>
      </c>
      <c r="I427" t="s">
        <v>2224</v>
      </c>
      <c r="J427" t="s">
        <v>2225</v>
      </c>
      <c r="K427" t="s">
        <v>2226</v>
      </c>
      <c r="N427" t="s">
        <v>2281</v>
      </c>
      <c r="O427" t="s">
        <v>1174</v>
      </c>
      <c r="P427" t="s">
        <v>2282</v>
      </c>
      <c r="Q427" t="s">
        <v>2283</v>
      </c>
      <c r="S427" t="s">
        <v>1538</v>
      </c>
    </row>
    <row r="428" spans="1:19">
      <c r="A428" t="s">
        <v>911</v>
      </c>
      <c r="B428" t="s">
        <v>255</v>
      </c>
      <c r="C428" t="s">
        <v>913</v>
      </c>
      <c r="D428" t="s">
        <v>1149</v>
      </c>
      <c r="E428" t="s">
        <v>912</v>
      </c>
      <c r="H428" t="s">
        <v>2258</v>
      </c>
      <c r="I428" t="s">
        <v>2224</v>
      </c>
      <c r="J428" t="s">
        <v>2225</v>
      </c>
      <c r="K428" t="s">
        <v>2226</v>
      </c>
      <c r="N428" t="s">
        <v>2284</v>
      </c>
      <c r="O428" t="s">
        <v>1174</v>
      </c>
      <c r="P428" t="s">
        <v>2285</v>
      </c>
      <c r="Q428" t="s">
        <v>2286</v>
      </c>
      <c r="S428" t="s">
        <v>1591</v>
      </c>
    </row>
    <row r="429" spans="1:19">
      <c r="A429" t="s">
        <v>914</v>
      </c>
      <c r="B429" t="s">
        <v>263</v>
      </c>
      <c r="C429" t="s">
        <v>916</v>
      </c>
      <c r="D429" t="s">
        <v>1149</v>
      </c>
      <c r="E429" t="s">
        <v>915</v>
      </c>
      <c r="H429" t="s">
        <v>2287</v>
      </c>
      <c r="I429" t="s">
        <v>2224</v>
      </c>
      <c r="J429" t="s">
        <v>2288</v>
      </c>
      <c r="K429" t="s">
        <v>2289</v>
      </c>
      <c r="N429" t="s">
        <v>2290</v>
      </c>
      <c r="O429" t="s">
        <v>1174</v>
      </c>
      <c r="P429" t="s">
        <v>2291</v>
      </c>
      <c r="Q429" t="s">
        <v>2292</v>
      </c>
      <c r="S429" t="s">
        <v>1499</v>
      </c>
    </row>
    <row r="430" spans="1:19">
      <c r="A430" t="s">
        <v>917</v>
      </c>
      <c r="B430" t="s">
        <v>266</v>
      </c>
      <c r="C430" t="s">
        <v>919</v>
      </c>
      <c r="D430" t="s">
        <v>1149</v>
      </c>
      <c r="E430" t="s">
        <v>918</v>
      </c>
      <c r="H430" t="s">
        <v>2287</v>
      </c>
      <c r="I430" t="s">
        <v>2224</v>
      </c>
      <c r="J430" t="s">
        <v>2288</v>
      </c>
      <c r="K430" t="s">
        <v>2289</v>
      </c>
      <c r="N430" t="s">
        <v>2293</v>
      </c>
      <c r="O430" t="s">
        <v>1174</v>
      </c>
      <c r="P430" t="s">
        <v>2294</v>
      </c>
      <c r="Q430" t="s">
        <v>2295</v>
      </c>
      <c r="S430" t="s">
        <v>1502</v>
      </c>
    </row>
    <row r="431" spans="1:19">
      <c r="A431" t="s">
        <v>920</v>
      </c>
      <c r="B431" t="s">
        <v>294</v>
      </c>
      <c r="C431" t="s">
        <v>922</v>
      </c>
      <c r="D431" t="s">
        <v>1149</v>
      </c>
      <c r="E431" t="s">
        <v>921</v>
      </c>
      <c r="H431" t="s">
        <v>2287</v>
      </c>
      <c r="I431" t="s">
        <v>2224</v>
      </c>
      <c r="J431" t="s">
        <v>2288</v>
      </c>
      <c r="K431" t="s">
        <v>2289</v>
      </c>
      <c r="N431" t="s">
        <v>2296</v>
      </c>
      <c r="O431" t="s">
        <v>1174</v>
      </c>
      <c r="P431" t="s">
        <v>2297</v>
      </c>
      <c r="Q431" t="s">
        <v>2298</v>
      </c>
      <c r="S431" t="s">
        <v>1502</v>
      </c>
    </row>
    <row r="432" spans="1:19">
      <c r="A432" t="s">
        <v>923</v>
      </c>
      <c r="B432" t="s">
        <v>258</v>
      </c>
      <c r="C432" t="s">
        <v>925</v>
      </c>
      <c r="D432" t="s">
        <v>1149</v>
      </c>
      <c r="E432" t="s">
        <v>924</v>
      </c>
      <c r="H432" t="s">
        <v>2287</v>
      </c>
      <c r="I432" t="s">
        <v>2224</v>
      </c>
      <c r="J432" t="s">
        <v>2288</v>
      </c>
      <c r="K432" t="s">
        <v>2289</v>
      </c>
      <c r="N432" t="s">
        <v>2299</v>
      </c>
      <c r="O432" t="s">
        <v>1174</v>
      </c>
      <c r="P432" t="s">
        <v>2300</v>
      </c>
      <c r="Q432" t="s">
        <v>2301</v>
      </c>
      <c r="S432" t="s">
        <v>1901</v>
      </c>
    </row>
    <row r="433" spans="1:19">
      <c r="A433" t="s">
        <v>926</v>
      </c>
      <c r="B433" t="s">
        <v>263</v>
      </c>
      <c r="C433" t="s">
        <v>928</v>
      </c>
      <c r="D433" t="s">
        <v>1130</v>
      </c>
      <c r="E433" t="s">
        <v>927</v>
      </c>
      <c r="H433" t="s">
        <v>2287</v>
      </c>
      <c r="I433" t="s">
        <v>2224</v>
      </c>
      <c r="J433" t="s">
        <v>2288</v>
      </c>
      <c r="K433" t="s">
        <v>2289</v>
      </c>
      <c r="N433" t="s">
        <v>2302</v>
      </c>
      <c r="O433" t="s">
        <v>1174</v>
      </c>
      <c r="P433" t="s">
        <v>2291</v>
      </c>
      <c r="Q433" t="s">
        <v>2303</v>
      </c>
      <c r="S433" t="s">
        <v>1443</v>
      </c>
    </row>
    <row r="434" spans="1:19">
      <c r="A434" t="s">
        <v>2304</v>
      </c>
      <c r="B434" t="s">
        <v>1495</v>
      </c>
      <c r="C434" t="s">
        <v>2305</v>
      </c>
      <c r="D434" t="s">
        <v>1149</v>
      </c>
      <c r="E434" t="s">
        <v>2306</v>
      </c>
      <c r="H434" t="s">
        <v>2287</v>
      </c>
      <c r="I434" t="s">
        <v>2224</v>
      </c>
      <c r="J434" t="s">
        <v>2288</v>
      </c>
      <c r="K434" t="s">
        <v>2289</v>
      </c>
      <c r="N434" t="s">
        <v>2307</v>
      </c>
      <c r="O434" t="s">
        <v>1174</v>
      </c>
      <c r="P434" t="s">
        <v>2308</v>
      </c>
      <c r="Q434" t="s">
        <v>2309</v>
      </c>
      <c r="S434" t="s">
        <v>1841</v>
      </c>
    </row>
    <row r="435" spans="1:19">
      <c r="A435" t="s">
        <v>929</v>
      </c>
      <c r="B435" t="s">
        <v>286</v>
      </c>
      <c r="C435" t="s">
        <v>931</v>
      </c>
      <c r="D435" t="s">
        <v>1149</v>
      </c>
      <c r="E435" t="s">
        <v>930</v>
      </c>
      <c r="H435" t="s">
        <v>2287</v>
      </c>
      <c r="I435" t="s">
        <v>2224</v>
      </c>
      <c r="J435" t="s">
        <v>2288</v>
      </c>
      <c r="K435" t="s">
        <v>2289</v>
      </c>
      <c r="N435" t="s">
        <v>2310</v>
      </c>
      <c r="O435" t="s">
        <v>1174</v>
      </c>
      <c r="P435" t="s">
        <v>2308</v>
      </c>
      <c r="Q435" t="s">
        <v>2311</v>
      </c>
      <c r="S435" t="s">
        <v>1841</v>
      </c>
    </row>
    <row r="436" spans="1:19">
      <c r="A436" t="s">
        <v>932</v>
      </c>
      <c r="B436" t="s">
        <v>266</v>
      </c>
      <c r="C436" t="s">
        <v>934</v>
      </c>
      <c r="D436" t="s">
        <v>1149</v>
      </c>
      <c r="E436" t="s">
        <v>933</v>
      </c>
      <c r="H436" t="s">
        <v>2287</v>
      </c>
      <c r="I436" t="s">
        <v>2224</v>
      </c>
      <c r="J436" t="s">
        <v>2288</v>
      </c>
      <c r="K436" t="s">
        <v>2289</v>
      </c>
      <c r="N436" t="s">
        <v>2312</v>
      </c>
      <c r="O436" t="s">
        <v>1174</v>
      </c>
      <c r="P436" t="s">
        <v>2313</v>
      </c>
      <c r="Q436" t="s">
        <v>2314</v>
      </c>
      <c r="S436" t="s">
        <v>1709</v>
      </c>
    </row>
    <row r="437" spans="1:19">
      <c r="A437" t="s">
        <v>935</v>
      </c>
      <c r="B437" t="s">
        <v>260</v>
      </c>
      <c r="C437" t="s">
        <v>937</v>
      </c>
      <c r="D437" t="s">
        <v>1149</v>
      </c>
      <c r="E437" t="s">
        <v>936</v>
      </c>
      <c r="H437" t="s">
        <v>2315</v>
      </c>
      <c r="I437" t="s">
        <v>2224</v>
      </c>
      <c r="J437" t="s">
        <v>2288</v>
      </c>
      <c r="K437" t="s">
        <v>2289</v>
      </c>
      <c r="N437" t="s">
        <v>2316</v>
      </c>
      <c r="O437" t="s">
        <v>1174</v>
      </c>
      <c r="P437" t="s">
        <v>2317</v>
      </c>
      <c r="Q437" t="s">
        <v>2318</v>
      </c>
      <c r="S437" t="s">
        <v>1358</v>
      </c>
    </row>
    <row r="438" spans="1:19">
      <c r="A438" t="s">
        <v>938</v>
      </c>
      <c r="B438" t="s">
        <v>255</v>
      </c>
      <c r="C438" t="s">
        <v>940</v>
      </c>
      <c r="D438" t="s">
        <v>1149</v>
      </c>
      <c r="E438" t="s">
        <v>939</v>
      </c>
      <c r="H438" t="s">
        <v>2315</v>
      </c>
      <c r="I438" t="s">
        <v>2224</v>
      </c>
      <c r="J438" t="s">
        <v>2288</v>
      </c>
      <c r="K438" t="s">
        <v>2289</v>
      </c>
      <c r="N438" t="s">
        <v>2319</v>
      </c>
      <c r="O438" t="s">
        <v>1174</v>
      </c>
      <c r="P438" t="s">
        <v>2320</v>
      </c>
      <c r="Q438" t="s">
        <v>2321</v>
      </c>
      <c r="S438" t="s">
        <v>1463</v>
      </c>
    </row>
    <row r="439" spans="1:19">
      <c r="A439" t="s">
        <v>941</v>
      </c>
      <c r="B439" t="s">
        <v>263</v>
      </c>
      <c r="C439" t="s">
        <v>943</v>
      </c>
      <c r="D439" t="s">
        <v>1149</v>
      </c>
      <c r="E439" t="s">
        <v>942</v>
      </c>
      <c r="H439" t="s">
        <v>2315</v>
      </c>
      <c r="I439" t="s">
        <v>2224</v>
      </c>
      <c r="J439" t="s">
        <v>2288</v>
      </c>
      <c r="K439" t="s">
        <v>2289</v>
      </c>
      <c r="N439" t="s">
        <v>2322</v>
      </c>
      <c r="O439" t="s">
        <v>1174</v>
      </c>
      <c r="P439" t="s">
        <v>2323</v>
      </c>
      <c r="Q439" t="s">
        <v>2324</v>
      </c>
      <c r="S439" t="s">
        <v>1427</v>
      </c>
    </row>
    <row r="440" spans="1:19">
      <c r="A440" t="s">
        <v>944</v>
      </c>
      <c r="B440" t="s">
        <v>266</v>
      </c>
      <c r="C440" t="s">
        <v>946</v>
      </c>
      <c r="D440" t="s">
        <v>1149</v>
      </c>
      <c r="E440" t="s">
        <v>945</v>
      </c>
      <c r="H440" t="s">
        <v>2315</v>
      </c>
      <c r="I440" t="s">
        <v>2224</v>
      </c>
      <c r="J440" t="s">
        <v>2288</v>
      </c>
      <c r="K440" t="s">
        <v>2289</v>
      </c>
      <c r="N440" t="s">
        <v>2325</v>
      </c>
      <c r="O440" t="s">
        <v>1174</v>
      </c>
      <c r="P440" t="s">
        <v>2326</v>
      </c>
      <c r="Q440" t="s">
        <v>2327</v>
      </c>
      <c r="S440" t="s">
        <v>1427</v>
      </c>
    </row>
    <row r="441" spans="1:19">
      <c r="A441" t="s">
        <v>947</v>
      </c>
      <c r="B441" t="s">
        <v>255</v>
      </c>
      <c r="C441" t="s">
        <v>949</v>
      </c>
      <c r="D441" t="s">
        <v>1149</v>
      </c>
      <c r="E441" t="s">
        <v>948</v>
      </c>
      <c r="H441" t="s">
        <v>2315</v>
      </c>
      <c r="I441" t="s">
        <v>2224</v>
      </c>
      <c r="J441" t="s">
        <v>2288</v>
      </c>
      <c r="K441" t="s">
        <v>2289</v>
      </c>
      <c r="N441" t="s">
        <v>2328</v>
      </c>
      <c r="O441" t="s">
        <v>1174</v>
      </c>
      <c r="P441" t="s">
        <v>2329</v>
      </c>
      <c r="Q441" t="s">
        <v>2330</v>
      </c>
      <c r="S441" t="s">
        <v>1567</v>
      </c>
    </row>
    <row r="442" spans="1:19">
      <c r="A442" t="s">
        <v>950</v>
      </c>
      <c r="B442" t="s">
        <v>260</v>
      </c>
      <c r="C442" t="s">
        <v>952</v>
      </c>
      <c r="D442" t="s">
        <v>1149</v>
      </c>
      <c r="E442" t="s">
        <v>951</v>
      </c>
      <c r="H442" t="s">
        <v>2315</v>
      </c>
      <c r="I442" t="s">
        <v>2224</v>
      </c>
      <c r="J442" t="s">
        <v>2288</v>
      </c>
      <c r="K442" t="s">
        <v>2289</v>
      </c>
      <c r="N442" t="s">
        <v>2331</v>
      </c>
      <c r="O442" t="s">
        <v>1174</v>
      </c>
      <c r="P442" t="s">
        <v>2329</v>
      </c>
      <c r="Q442" t="s">
        <v>2332</v>
      </c>
      <c r="S442" t="s">
        <v>2333</v>
      </c>
    </row>
    <row r="443" spans="1:19">
      <c r="A443" t="s">
        <v>953</v>
      </c>
      <c r="B443" t="s">
        <v>278</v>
      </c>
      <c r="C443" t="s">
        <v>955</v>
      </c>
      <c r="D443" t="s">
        <v>1149</v>
      </c>
      <c r="E443" t="s">
        <v>954</v>
      </c>
      <c r="H443" t="s">
        <v>2315</v>
      </c>
      <c r="I443" t="s">
        <v>2224</v>
      </c>
      <c r="J443" t="s">
        <v>2288</v>
      </c>
      <c r="K443" t="s">
        <v>2289</v>
      </c>
      <c r="N443" t="s">
        <v>2334</v>
      </c>
      <c r="O443" t="s">
        <v>1174</v>
      </c>
      <c r="P443" t="s">
        <v>2335</v>
      </c>
      <c r="Q443" t="s">
        <v>2336</v>
      </c>
      <c r="S443" t="s">
        <v>1733</v>
      </c>
    </row>
    <row r="444" spans="1:19">
      <c r="A444" t="s">
        <v>956</v>
      </c>
      <c r="B444" t="s">
        <v>280</v>
      </c>
      <c r="C444" t="s">
        <v>958</v>
      </c>
      <c r="D444" t="s">
        <v>1149</v>
      </c>
      <c r="E444" t="s">
        <v>957</v>
      </c>
      <c r="H444" t="s">
        <v>2315</v>
      </c>
      <c r="I444" t="s">
        <v>2224</v>
      </c>
      <c r="J444" t="s">
        <v>2288</v>
      </c>
      <c r="K444" t="s">
        <v>2289</v>
      </c>
      <c r="N444" t="s">
        <v>2337</v>
      </c>
      <c r="O444" t="s">
        <v>1174</v>
      </c>
      <c r="P444" t="s">
        <v>2338</v>
      </c>
      <c r="Q444" t="s">
        <v>2339</v>
      </c>
      <c r="S444" t="s">
        <v>1733</v>
      </c>
    </row>
    <row r="445" spans="1:19">
      <c r="A445" t="s">
        <v>959</v>
      </c>
      <c r="B445" t="s">
        <v>1486</v>
      </c>
      <c r="C445" t="s">
        <v>961</v>
      </c>
      <c r="D445" t="s">
        <v>1149</v>
      </c>
      <c r="E445" t="s">
        <v>960</v>
      </c>
      <c r="H445" t="s">
        <v>2340</v>
      </c>
      <c r="I445" t="s">
        <v>2224</v>
      </c>
      <c r="J445" t="s">
        <v>2341</v>
      </c>
      <c r="K445" t="s">
        <v>2342</v>
      </c>
      <c r="N445" t="s">
        <v>2343</v>
      </c>
      <c r="O445" t="s">
        <v>1174</v>
      </c>
      <c r="P445" t="s">
        <v>2344</v>
      </c>
      <c r="Q445" t="s">
        <v>2345</v>
      </c>
      <c r="S445" t="s">
        <v>1733</v>
      </c>
    </row>
    <row r="446" spans="1:19">
      <c r="A446" t="s">
        <v>962</v>
      </c>
      <c r="B446" t="s">
        <v>255</v>
      </c>
      <c r="C446" t="s">
        <v>964</v>
      </c>
      <c r="D446" t="s">
        <v>1149</v>
      </c>
      <c r="E446" t="s">
        <v>963</v>
      </c>
      <c r="H446" t="s">
        <v>2340</v>
      </c>
      <c r="I446" t="s">
        <v>2224</v>
      </c>
      <c r="J446" t="s">
        <v>2341</v>
      </c>
      <c r="K446" t="s">
        <v>2342</v>
      </c>
      <c r="N446" t="s">
        <v>2346</v>
      </c>
      <c r="O446" t="s">
        <v>1174</v>
      </c>
      <c r="P446" t="s">
        <v>2347</v>
      </c>
      <c r="Q446" t="s">
        <v>2348</v>
      </c>
      <c r="S446" t="s">
        <v>2349</v>
      </c>
    </row>
    <row r="447" spans="1:19">
      <c r="A447" t="s">
        <v>962</v>
      </c>
      <c r="B447" t="s">
        <v>258</v>
      </c>
      <c r="C447" t="s">
        <v>966</v>
      </c>
      <c r="D447" t="s">
        <v>1149</v>
      </c>
      <c r="E447" t="s">
        <v>965</v>
      </c>
      <c r="H447" t="s">
        <v>2340</v>
      </c>
      <c r="I447" t="s">
        <v>2224</v>
      </c>
      <c r="J447" t="s">
        <v>2341</v>
      </c>
      <c r="K447" t="s">
        <v>2342</v>
      </c>
      <c r="N447" t="s">
        <v>2350</v>
      </c>
      <c r="O447" t="s">
        <v>1174</v>
      </c>
      <c r="P447" t="s">
        <v>2347</v>
      </c>
      <c r="Q447" t="s">
        <v>2351</v>
      </c>
      <c r="S447" t="s">
        <v>2349</v>
      </c>
    </row>
    <row r="448" spans="1:19">
      <c r="A448" t="s">
        <v>1068</v>
      </c>
      <c r="B448" t="s">
        <v>260</v>
      </c>
      <c r="C448" t="s">
        <v>1070</v>
      </c>
      <c r="D448" t="s">
        <v>1149</v>
      </c>
      <c r="E448" t="s">
        <v>1069</v>
      </c>
      <c r="H448" t="s">
        <v>2340</v>
      </c>
      <c r="I448" t="s">
        <v>2224</v>
      </c>
      <c r="J448" t="s">
        <v>2341</v>
      </c>
      <c r="K448" t="s">
        <v>2342</v>
      </c>
      <c r="N448" t="s">
        <v>2352</v>
      </c>
      <c r="O448" t="s">
        <v>1174</v>
      </c>
      <c r="P448" t="s">
        <v>2353</v>
      </c>
      <c r="Q448" t="s">
        <v>2354</v>
      </c>
      <c r="S448" t="s">
        <v>2355</v>
      </c>
    </row>
    <row r="449" spans="1:19">
      <c r="A449" t="s">
        <v>648</v>
      </c>
      <c r="B449" t="s">
        <v>255</v>
      </c>
      <c r="C449" t="s">
        <v>2356</v>
      </c>
      <c r="D449" t="s">
        <v>1149</v>
      </c>
      <c r="E449" t="s">
        <v>649</v>
      </c>
      <c r="H449" t="s">
        <v>2340</v>
      </c>
      <c r="I449" t="s">
        <v>2224</v>
      </c>
      <c r="J449" t="s">
        <v>2341</v>
      </c>
      <c r="K449" t="s">
        <v>2342</v>
      </c>
      <c r="N449" t="s">
        <v>2357</v>
      </c>
      <c r="O449" t="s">
        <v>1174</v>
      </c>
      <c r="P449" t="s">
        <v>2358</v>
      </c>
      <c r="Q449" t="s">
        <v>2359</v>
      </c>
      <c r="S449" t="s">
        <v>2355</v>
      </c>
    </row>
    <row r="450" spans="1:19">
      <c r="A450" t="s">
        <v>651</v>
      </c>
      <c r="B450" t="s">
        <v>258</v>
      </c>
      <c r="C450" t="s">
        <v>2360</v>
      </c>
      <c r="D450" t="s">
        <v>1149</v>
      </c>
      <c r="E450" t="s">
        <v>652</v>
      </c>
      <c r="H450" t="s">
        <v>2340</v>
      </c>
      <c r="I450" t="s">
        <v>2224</v>
      </c>
      <c r="J450" t="s">
        <v>2341</v>
      </c>
      <c r="K450" t="s">
        <v>2342</v>
      </c>
      <c r="N450" t="s">
        <v>2361</v>
      </c>
      <c r="O450" t="s">
        <v>1174</v>
      </c>
      <c r="P450" t="s">
        <v>2362</v>
      </c>
      <c r="Q450" t="s">
        <v>2363</v>
      </c>
      <c r="S450" t="s">
        <v>2355</v>
      </c>
    </row>
    <row r="451" spans="1:19">
      <c r="A451" t="s">
        <v>852</v>
      </c>
      <c r="B451" t="s">
        <v>263</v>
      </c>
      <c r="C451" t="s">
        <v>854</v>
      </c>
      <c r="D451" t="s">
        <v>1149</v>
      </c>
      <c r="E451" t="s">
        <v>853</v>
      </c>
      <c r="H451" t="s">
        <v>2340</v>
      </c>
      <c r="I451" t="s">
        <v>2224</v>
      </c>
      <c r="J451" t="s">
        <v>2341</v>
      </c>
      <c r="K451" t="s">
        <v>2342</v>
      </c>
      <c r="N451" t="s">
        <v>2364</v>
      </c>
      <c r="O451" t="s">
        <v>1174</v>
      </c>
      <c r="P451" t="s">
        <v>2347</v>
      </c>
      <c r="Q451" t="s">
        <v>2365</v>
      </c>
      <c r="S451" t="s">
        <v>2355</v>
      </c>
    </row>
    <row r="452" spans="1:19">
      <c r="A452" t="s">
        <v>855</v>
      </c>
      <c r="B452" t="s">
        <v>260</v>
      </c>
      <c r="C452" t="s">
        <v>857</v>
      </c>
      <c r="D452" t="s">
        <v>1149</v>
      </c>
      <c r="E452" t="s">
        <v>856</v>
      </c>
      <c r="H452" t="s">
        <v>2340</v>
      </c>
      <c r="I452" t="s">
        <v>2224</v>
      </c>
      <c r="J452" t="s">
        <v>2341</v>
      </c>
      <c r="K452" t="s">
        <v>2342</v>
      </c>
      <c r="N452" t="s">
        <v>2366</v>
      </c>
      <c r="O452" t="s">
        <v>1174</v>
      </c>
      <c r="P452" t="s">
        <v>2367</v>
      </c>
      <c r="Q452" t="s">
        <v>2368</v>
      </c>
      <c r="S452" t="s">
        <v>2144</v>
      </c>
    </row>
    <row r="453" spans="1:19">
      <c r="A453" t="s">
        <v>2369</v>
      </c>
      <c r="B453" t="s">
        <v>277</v>
      </c>
      <c r="C453" t="s">
        <v>2370</v>
      </c>
      <c r="D453" t="s">
        <v>1149</v>
      </c>
      <c r="E453" t="s">
        <v>2371</v>
      </c>
      <c r="H453" t="s">
        <v>2372</v>
      </c>
      <c r="I453" t="s">
        <v>2224</v>
      </c>
      <c r="J453" t="s">
        <v>2341</v>
      </c>
      <c r="K453" t="s">
        <v>2342</v>
      </c>
      <c r="N453" t="s">
        <v>2373</v>
      </c>
      <c r="O453" t="s">
        <v>1174</v>
      </c>
      <c r="P453" t="s">
        <v>2374</v>
      </c>
      <c r="Q453" t="s">
        <v>2375</v>
      </c>
      <c r="S453" t="s">
        <v>1475</v>
      </c>
    </row>
    <row r="454" spans="1:19">
      <c r="A454" t="s">
        <v>2376</v>
      </c>
      <c r="B454" t="s">
        <v>278</v>
      </c>
      <c r="C454" t="s">
        <v>2377</v>
      </c>
      <c r="D454" t="s">
        <v>1149</v>
      </c>
      <c r="E454" t="s">
        <v>2378</v>
      </c>
      <c r="H454" t="s">
        <v>2372</v>
      </c>
      <c r="I454" t="s">
        <v>2224</v>
      </c>
      <c r="J454" t="s">
        <v>2341</v>
      </c>
      <c r="K454" t="s">
        <v>2342</v>
      </c>
      <c r="N454" t="s">
        <v>2379</v>
      </c>
      <c r="O454" t="s">
        <v>1174</v>
      </c>
      <c r="P454" t="s">
        <v>2380</v>
      </c>
      <c r="Q454" t="s">
        <v>2381</v>
      </c>
      <c r="S454" t="s">
        <v>1475</v>
      </c>
    </row>
    <row r="455" spans="1:19">
      <c r="A455" t="s">
        <v>2382</v>
      </c>
      <c r="B455" t="s">
        <v>274</v>
      </c>
      <c r="C455" t="s">
        <v>2383</v>
      </c>
      <c r="D455" t="s">
        <v>1149</v>
      </c>
      <c r="E455" t="s">
        <v>2384</v>
      </c>
      <c r="H455" t="s">
        <v>2372</v>
      </c>
      <c r="I455" t="s">
        <v>2224</v>
      </c>
      <c r="J455" t="s">
        <v>2341</v>
      </c>
      <c r="K455" t="s">
        <v>2342</v>
      </c>
      <c r="N455" t="s">
        <v>2385</v>
      </c>
      <c r="O455" t="s">
        <v>1174</v>
      </c>
      <c r="P455" t="s">
        <v>2386</v>
      </c>
      <c r="Q455" t="s">
        <v>2387</v>
      </c>
      <c r="S455" t="s">
        <v>1478</v>
      </c>
    </row>
    <row r="456" spans="1:19">
      <c r="A456" t="s">
        <v>2369</v>
      </c>
      <c r="B456" t="s">
        <v>277</v>
      </c>
      <c r="C456" t="s">
        <v>2388</v>
      </c>
      <c r="D456" t="s">
        <v>1149</v>
      </c>
      <c r="E456" t="s">
        <v>2371</v>
      </c>
      <c r="H456" t="s">
        <v>2372</v>
      </c>
      <c r="I456" t="s">
        <v>2224</v>
      </c>
      <c r="J456" t="s">
        <v>2341</v>
      </c>
      <c r="K456" t="s">
        <v>2342</v>
      </c>
      <c r="N456" t="s">
        <v>2389</v>
      </c>
      <c r="O456" t="s">
        <v>1174</v>
      </c>
      <c r="P456" t="s">
        <v>2390</v>
      </c>
      <c r="Q456" t="s">
        <v>2391</v>
      </c>
      <c r="S456" t="s">
        <v>1478</v>
      </c>
    </row>
    <row r="457" spans="1:19">
      <c r="A457" t="s">
        <v>2376</v>
      </c>
      <c r="B457" t="s">
        <v>278</v>
      </c>
      <c r="C457" t="s">
        <v>2392</v>
      </c>
      <c r="D457" t="s">
        <v>1149</v>
      </c>
      <c r="E457" t="s">
        <v>2378</v>
      </c>
      <c r="H457" t="s">
        <v>2372</v>
      </c>
      <c r="I457" t="s">
        <v>2224</v>
      </c>
      <c r="J457" t="s">
        <v>2341</v>
      </c>
      <c r="K457" t="s">
        <v>2342</v>
      </c>
      <c r="N457" t="s">
        <v>2393</v>
      </c>
      <c r="O457" t="s">
        <v>1174</v>
      </c>
      <c r="P457" t="s">
        <v>2394</v>
      </c>
      <c r="Q457" t="s">
        <v>2395</v>
      </c>
      <c r="S457" t="s">
        <v>1478</v>
      </c>
    </row>
    <row r="458" spans="1:19">
      <c r="A458" t="s">
        <v>839</v>
      </c>
      <c r="B458" t="s">
        <v>258</v>
      </c>
      <c r="C458" t="s">
        <v>841</v>
      </c>
      <c r="D458" t="s">
        <v>1149</v>
      </c>
      <c r="E458" t="s">
        <v>840</v>
      </c>
      <c r="H458" t="s">
        <v>2372</v>
      </c>
      <c r="I458" t="s">
        <v>2224</v>
      </c>
      <c r="J458" t="s">
        <v>2341</v>
      </c>
      <c r="K458" t="s">
        <v>2342</v>
      </c>
      <c r="N458" t="s">
        <v>2396</v>
      </c>
      <c r="O458" t="s">
        <v>1174</v>
      </c>
      <c r="P458" t="s">
        <v>2397</v>
      </c>
      <c r="Q458" t="s">
        <v>2398</v>
      </c>
      <c r="S458" t="s">
        <v>2399</v>
      </c>
    </row>
    <row r="459" spans="1:19">
      <c r="A459" t="s">
        <v>2400</v>
      </c>
      <c r="B459" t="s">
        <v>255</v>
      </c>
      <c r="C459" t="s">
        <v>2401</v>
      </c>
      <c r="D459" t="s">
        <v>1149</v>
      </c>
      <c r="E459" t="s">
        <v>2402</v>
      </c>
      <c r="H459" t="s">
        <v>2372</v>
      </c>
      <c r="I459" t="s">
        <v>2224</v>
      </c>
      <c r="J459" t="s">
        <v>2341</v>
      </c>
      <c r="K459" t="s">
        <v>2342</v>
      </c>
      <c r="N459" t="s">
        <v>2403</v>
      </c>
      <c r="O459" t="s">
        <v>1174</v>
      </c>
      <c r="P459" t="s">
        <v>2404</v>
      </c>
      <c r="Q459" t="s">
        <v>2405</v>
      </c>
      <c r="S459" t="s">
        <v>1664</v>
      </c>
    </row>
    <row r="460" spans="1:19">
      <c r="A460" t="s">
        <v>2406</v>
      </c>
      <c r="B460" t="s">
        <v>258</v>
      </c>
      <c r="C460" t="s">
        <v>2407</v>
      </c>
      <c r="D460" t="s">
        <v>1149</v>
      </c>
      <c r="E460" t="s">
        <v>2408</v>
      </c>
      <c r="H460" t="s">
        <v>2372</v>
      </c>
      <c r="I460" t="s">
        <v>2224</v>
      </c>
      <c r="J460" t="s">
        <v>2341</v>
      </c>
      <c r="K460" t="s">
        <v>2342</v>
      </c>
      <c r="N460" t="s">
        <v>2409</v>
      </c>
      <c r="O460" t="s">
        <v>1174</v>
      </c>
      <c r="P460" t="s">
        <v>2410</v>
      </c>
      <c r="Q460" t="s">
        <v>2411</v>
      </c>
      <c r="S460" t="s">
        <v>2115</v>
      </c>
    </row>
    <row r="461" spans="1:19">
      <c r="A461" t="s">
        <v>2412</v>
      </c>
      <c r="B461" t="s">
        <v>260</v>
      </c>
      <c r="C461" t="s">
        <v>2413</v>
      </c>
      <c r="D461" t="s">
        <v>1149</v>
      </c>
      <c r="E461" t="s">
        <v>2414</v>
      </c>
      <c r="H461" t="s">
        <v>2415</v>
      </c>
      <c r="I461" t="s">
        <v>2224</v>
      </c>
      <c r="J461" t="s">
        <v>2416</v>
      </c>
      <c r="K461" t="s">
        <v>2417</v>
      </c>
      <c r="N461" t="s">
        <v>2418</v>
      </c>
      <c r="O461" t="s">
        <v>1174</v>
      </c>
      <c r="P461" t="s">
        <v>2419</v>
      </c>
      <c r="Q461" t="s">
        <v>2420</v>
      </c>
      <c r="S461" t="s">
        <v>2115</v>
      </c>
    </row>
    <row r="462" spans="1:19">
      <c r="A462" t="s">
        <v>2421</v>
      </c>
      <c r="B462" t="s">
        <v>263</v>
      </c>
      <c r="C462" t="s">
        <v>2422</v>
      </c>
      <c r="D462" t="s">
        <v>1149</v>
      </c>
      <c r="E462" t="s">
        <v>2423</v>
      </c>
      <c r="H462" t="s">
        <v>2415</v>
      </c>
      <c r="I462" t="s">
        <v>2224</v>
      </c>
      <c r="J462" t="s">
        <v>2416</v>
      </c>
      <c r="K462" t="s">
        <v>2417</v>
      </c>
      <c r="N462" t="s">
        <v>2424</v>
      </c>
      <c r="O462" t="s">
        <v>1174</v>
      </c>
      <c r="P462" t="s">
        <v>2425</v>
      </c>
      <c r="Q462" t="s">
        <v>2426</v>
      </c>
      <c r="S462" t="s">
        <v>2115</v>
      </c>
    </row>
    <row r="463" spans="1:19">
      <c r="A463" t="s">
        <v>2427</v>
      </c>
      <c r="B463" t="s">
        <v>266</v>
      </c>
      <c r="C463" t="s">
        <v>2428</v>
      </c>
      <c r="D463" t="s">
        <v>1149</v>
      </c>
      <c r="E463" t="s">
        <v>2429</v>
      </c>
      <c r="H463" t="s">
        <v>2415</v>
      </c>
      <c r="I463" t="s">
        <v>2224</v>
      </c>
      <c r="J463" t="s">
        <v>2416</v>
      </c>
      <c r="K463" t="s">
        <v>2417</v>
      </c>
      <c r="N463" t="s">
        <v>2430</v>
      </c>
      <c r="O463" t="s">
        <v>1174</v>
      </c>
      <c r="P463" t="s">
        <v>2431</v>
      </c>
      <c r="Q463" t="s">
        <v>2432</v>
      </c>
      <c r="S463" t="s">
        <v>2115</v>
      </c>
    </row>
    <row r="464" spans="1:19">
      <c r="A464" t="s">
        <v>842</v>
      </c>
      <c r="B464" t="s">
        <v>1486</v>
      </c>
      <c r="C464" t="s">
        <v>844</v>
      </c>
      <c r="D464" t="s">
        <v>1149</v>
      </c>
      <c r="E464" t="s">
        <v>843</v>
      </c>
      <c r="H464" t="s">
        <v>2415</v>
      </c>
      <c r="I464" t="s">
        <v>2224</v>
      </c>
      <c r="J464" t="s">
        <v>2416</v>
      </c>
      <c r="K464" t="s">
        <v>2417</v>
      </c>
      <c r="N464" t="s">
        <v>2433</v>
      </c>
      <c r="O464" t="s">
        <v>1174</v>
      </c>
      <c r="P464" t="s">
        <v>2434</v>
      </c>
      <c r="Q464" t="s">
        <v>2435</v>
      </c>
      <c r="S464" t="s">
        <v>1502</v>
      </c>
    </row>
    <row r="465" spans="1:19">
      <c r="A465" t="s">
        <v>2436</v>
      </c>
      <c r="B465" t="s">
        <v>255</v>
      </c>
      <c r="C465" t="s">
        <v>2437</v>
      </c>
      <c r="D465" t="s">
        <v>1149</v>
      </c>
      <c r="E465" t="s">
        <v>2438</v>
      </c>
      <c r="H465" t="s">
        <v>2415</v>
      </c>
      <c r="I465" t="s">
        <v>2224</v>
      </c>
      <c r="J465" t="s">
        <v>2416</v>
      </c>
      <c r="K465" t="s">
        <v>2417</v>
      </c>
      <c r="N465" t="s">
        <v>2439</v>
      </c>
      <c r="O465" t="s">
        <v>1174</v>
      </c>
      <c r="P465" t="s">
        <v>2440</v>
      </c>
      <c r="Q465" t="s">
        <v>2441</v>
      </c>
      <c r="S465" t="s">
        <v>2442</v>
      </c>
    </row>
    <row r="466" spans="1:19">
      <c r="A466" t="s">
        <v>709</v>
      </c>
      <c r="B466" t="s">
        <v>263</v>
      </c>
      <c r="C466" t="s">
        <v>711</v>
      </c>
      <c r="D466" t="s">
        <v>1149</v>
      </c>
      <c r="E466" t="s">
        <v>710</v>
      </c>
      <c r="H466" t="s">
        <v>2415</v>
      </c>
      <c r="I466" t="s">
        <v>2224</v>
      </c>
      <c r="J466" t="s">
        <v>2416</v>
      </c>
      <c r="K466" t="s">
        <v>2417</v>
      </c>
      <c r="N466" t="s">
        <v>2443</v>
      </c>
      <c r="O466" t="s">
        <v>1174</v>
      </c>
      <c r="P466" t="s">
        <v>2444</v>
      </c>
      <c r="Q466" t="s">
        <v>2445</v>
      </c>
      <c r="S466" t="s">
        <v>1841</v>
      </c>
    </row>
    <row r="467" spans="1:19">
      <c r="A467" t="s">
        <v>712</v>
      </c>
      <c r="B467" t="s">
        <v>266</v>
      </c>
      <c r="C467" t="s">
        <v>714</v>
      </c>
      <c r="D467" t="s">
        <v>1149</v>
      </c>
      <c r="E467" t="s">
        <v>713</v>
      </c>
      <c r="H467" t="s">
        <v>2415</v>
      </c>
      <c r="I467" t="s">
        <v>2224</v>
      </c>
      <c r="J467" t="s">
        <v>2416</v>
      </c>
      <c r="K467" t="s">
        <v>2417</v>
      </c>
      <c r="N467" t="s">
        <v>2446</v>
      </c>
      <c r="O467" t="s">
        <v>1174</v>
      </c>
      <c r="P467" t="s">
        <v>2444</v>
      </c>
      <c r="Q467" t="s">
        <v>2447</v>
      </c>
      <c r="S467" t="s">
        <v>1841</v>
      </c>
    </row>
    <row r="468" spans="1:19">
      <c r="A468" t="s">
        <v>715</v>
      </c>
      <c r="B468" t="s">
        <v>294</v>
      </c>
      <c r="C468" t="s">
        <v>717</v>
      </c>
      <c r="D468" t="s">
        <v>1149</v>
      </c>
      <c r="E468" t="s">
        <v>716</v>
      </c>
      <c r="H468" t="s">
        <v>2415</v>
      </c>
      <c r="I468" t="s">
        <v>2224</v>
      </c>
      <c r="J468" t="s">
        <v>2416</v>
      </c>
      <c r="K468" t="s">
        <v>2417</v>
      </c>
      <c r="N468" t="s">
        <v>2448</v>
      </c>
      <c r="O468" t="s">
        <v>1174</v>
      </c>
      <c r="P468" t="s">
        <v>2444</v>
      </c>
      <c r="Q468" t="s">
        <v>2449</v>
      </c>
      <c r="S468" t="s">
        <v>1841</v>
      </c>
    </row>
    <row r="469" spans="1:19">
      <c r="A469" t="s">
        <v>718</v>
      </c>
      <c r="B469" t="s">
        <v>268</v>
      </c>
      <c r="C469" t="s">
        <v>720</v>
      </c>
      <c r="D469" t="s">
        <v>1149</v>
      </c>
      <c r="E469" t="s">
        <v>719</v>
      </c>
      <c r="H469" t="s">
        <v>2450</v>
      </c>
      <c r="I469" t="s">
        <v>2224</v>
      </c>
      <c r="J469" t="s">
        <v>2416</v>
      </c>
      <c r="K469" t="s">
        <v>2417</v>
      </c>
      <c r="N469" t="s">
        <v>2451</v>
      </c>
      <c r="O469" t="s">
        <v>1174</v>
      </c>
      <c r="P469" t="s">
        <v>2452</v>
      </c>
      <c r="Q469" t="s">
        <v>2453</v>
      </c>
      <c r="S469" t="s">
        <v>1841</v>
      </c>
    </row>
    <row r="470" spans="1:19">
      <c r="A470" t="s">
        <v>721</v>
      </c>
      <c r="B470" t="s">
        <v>271</v>
      </c>
      <c r="C470" t="s">
        <v>723</v>
      </c>
      <c r="D470" t="s">
        <v>1149</v>
      </c>
      <c r="E470" t="s">
        <v>722</v>
      </c>
      <c r="H470" t="s">
        <v>2450</v>
      </c>
      <c r="I470" t="s">
        <v>2224</v>
      </c>
      <c r="J470" t="s">
        <v>2416</v>
      </c>
      <c r="K470" t="s">
        <v>2417</v>
      </c>
      <c r="N470" t="s">
        <v>2454</v>
      </c>
      <c r="O470" t="s">
        <v>1174</v>
      </c>
      <c r="P470" t="s">
        <v>2452</v>
      </c>
      <c r="Q470" t="s">
        <v>2455</v>
      </c>
      <c r="S470" t="s">
        <v>1841</v>
      </c>
    </row>
    <row r="471" spans="1:19">
      <c r="A471" t="s">
        <v>1020</v>
      </c>
      <c r="B471" t="s">
        <v>263</v>
      </c>
      <c r="C471" t="s">
        <v>1022</v>
      </c>
      <c r="D471" t="s">
        <v>1149</v>
      </c>
      <c r="E471" t="s">
        <v>1021</v>
      </c>
      <c r="H471" t="s">
        <v>2450</v>
      </c>
      <c r="I471" t="s">
        <v>2224</v>
      </c>
      <c r="J471" t="s">
        <v>2416</v>
      </c>
      <c r="K471" t="s">
        <v>2417</v>
      </c>
      <c r="N471" t="s">
        <v>2456</v>
      </c>
      <c r="O471" t="s">
        <v>1174</v>
      </c>
      <c r="P471" t="s">
        <v>2457</v>
      </c>
      <c r="Q471" t="s">
        <v>2458</v>
      </c>
      <c r="S471" t="s">
        <v>2333</v>
      </c>
    </row>
    <row r="472" spans="1:19">
      <c r="A472" t="s">
        <v>999</v>
      </c>
      <c r="B472" t="s">
        <v>255</v>
      </c>
      <c r="C472" t="s">
        <v>1001</v>
      </c>
      <c r="D472" t="s">
        <v>1149</v>
      </c>
      <c r="E472" t="s">
        <v>1000</v>
      </c>
      <c r="H472" t="s">
        <v>2450</v>
      </c>
      <c r="I472" t="s">
        <v>2224</v>
      </c>
      <c r="J472" t="s">
        <v>2416</v>
      </c>
      <c r="K472" t="s">
        <v>2417</v>
      </c>
      <c r="N472" t="s">
        <v>2459</v>
      </c>
      <c r="O472" t="s">
        <v>1174</v>
      </c>
      <c r="P472" t="s">
        <v>2460</v>
      </c>
      <c r="Q472" t="s">
        <v>2461</v>
      </c>
      <c r="S472" t="s">
        <v>2462</v>
      </c>
    </row>
    <row r="473" spans="1:19">
      <c r="A473" t="s">
        <v>1002</v>
      </c>
      <c r="B473" t="s">
        <v>258</v>
      </c>
      <c r="C473" t="s">
        <v>1004</v>
      </c>
      <c r="D473" t="s">
        <v>1149</v>
      </c>
      <c r="E473" t="s">
        <v>1003</v>
      </c>
      <c r="H473" t="s">
        <v>2450</v>
      </c>
      <c r="I473" t="s">
        <v>2224</v>
      </c>
      <c r="J473" t="s">
        <v>2416</v>
      </c>
      <c r="K473" t="s">
        <v>2417</v>
      </c>
      <c r="N473" t="s">
        <v>2463</v>
      </c>
      <c r="O473" t="s">
        <v>1174</v>
      </c>
      <c r="P473" t="s">
        <v>2464</v>
      </c>
      <c r="Q473" t="s">
        <v>2465</v>
      </c>
      <c r="S473" t="s">
        <v>2462</v>
      </c>
    </row>
    <row r="474" spans="1:19">
      <c r="A474" t="s">
        <v>1005</v>
      </c>
      <c r="B474" t="s">
        <v>260</v>
      </c>
      <c r="C474" t="s">
        <v>1007</v>
      </c>
      <c r="D474" t="s">
        <v>1149</v>
      </c>
      <c r="E474" t="s">
        <v>1006</v>
      </c>
      <c r="H474" t="s">
        <v>2450</v>
      </c>
      <c r="I474" t="s">
        <v>2224</v>
      </c>
      <c r="J474" t="s">
        <v>2416</v>
      </c>
      <c r="K474" t="s">
        <v>2417</v>
      </c>
      <c r="N474" t="s">
        <v>2466</v>
      </c>
      <c r="O474" t="s">
        <v>1174</v>
      </c>
      <c r="P474" t="s">
        <v>2467</v>
      </c>
      <c r="Q474" t="s">
        <v>2468</v>
      </c>
      <c r="S474" t="s">
        <v>2462</v>
      </c>
    </row>
    <row r="475" spans="1:19">
      <c r="A475" t="s">
        <v>1008</v>
      </c>
      <c r="B475" t="s">
        <v>266</v>
      </c>
      <c r="C475" t="s">
        <v>1010</v>
      </c>
      <c r="D475" t="s">
        <v>1149</v>
      </c>
      <c r="E475" t="s">
        <v>1009</v>
      </c>
      <c r="H475" t="s">
        <v>2450</v>
      </c>
      <c r="I475" t="s">
        <v>2224</v>
      </c>
      <c r="J475" t="s">
        <v>2416</v>
      </c>
      <c r="K475" t="s">
        <v>2417</v>
      </c>
      <c r="N475" t="s">
        <v>2469</v>
      </c>
      <c r="O475" t="s">
        <v>1174</v>
      </c>
      <c r="P475" t="s">
        <v>2470</v>
      </c>
      <c r="Q475" t="s">
        <v>2471</v>
      </c>
      <c r="S475" t="s">
        <v>2462</v>
      </c>
    </row>
    <row r="476" spans="1:19">
      <c r="A476" t="s">
        <v>1011</v>
      </c>
      <c r="B476" t="s">
        <v>294</v>
      </c>
      <c r="C476" t="s">
        <v>1013</v>
      </c>
      <c r="D476" t="s">
        <v>1149</v>
      </c>
      <c r="E476" t="s">
        <v>1012</v>
      </c>
      <c r="H476" t="s">
        <v>2450</v>
      </c>
      <c r="I476" t="s">
        <v>2224</v>
      </c>
      <c r="J476" t="s">
        <v>2416</v>
      </c>
      <c r="K476" t="s">
        <v>2417</v>
      </c>
      <c r="N476" t="s">
        <v>2472</v>
      </c>
      <c r="O476" t="s">
        <v>1174</v>
      </c>
      <c r="P476" t="s">
        <v>2473</v>
      </c>
      <c r="Q476" t="s">
        <v>2474</v>
      </c>
      <c r="S476" t="s">
        <v>2462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工作表1</vt:lpstr>
      <vt:lpstr>factor_generated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Chloe Zhang</cp:lastModifiedBy>
  <dcterms:created xsi:type="dcterms:W3CDTF">2026-05-24T15:02:08Z</dcterms:created>
  <dcterms:modified xsi:type="dcterms:W3CDTF">2026-05-31T05:49:03Z</dcterms:modified>
</cp:coreProperties>
</file>